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sus\Documents\BELAJAR\SHA256\"/>
    </mc:Choice>
  </mc:AlternateContent>
  <xr:revisionPtr revIDLastSave="0" documentId="13_ncr:1_{0CBC6FA0-ABBE-4182-98F2-A5E35FF92314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RSA" sheetId="1" r:id="rId1"/>
    <sheet name="El Gamal" sheetId="2" r:id="rId2"/>
    <sheet name="Schnorr" sheetId="3" r:id="rId3"/>
  </sheets>
  <calcPr calcId="191029"/>
</workbook>
</file>

<file path=xl/calcChain.xml><?xml version="1.0" encoding="utf-8"?>
<calcChain xmlns="http://schemas.openxmlformats.org/spreadsheetml/2006/main">
  <c r="B68" i="3" l="1"/>
  <c r="B67" i="3"/>
  <c r="B66" i="3"/>
  <c r="B65" i="3"/>
  <c r="B57" i="3"/>
  <c r="B56" i="3"/>
  <c r="B55" i="3"/>
  <c r="B44" i="3"/>
  <c r="C44" i="3" s="1"/>
  <c r="B43" i="3"/>
  <c r="C43" i="3" s="1"/>
  <c r="B42" i="3"/>
  <c r="C42" i="3" s="1"/>
  <c r="B30" i="3"/>
  <c r="C30" i="3" s="1"/>
  <c r="B29" i="3"/>
  <c r="C29" i="3" s="1"/>
  <c r="B28" i="3"/>
  <c r="C28" i="3" s="1"/>
  <c r="B19" i="3"/>
  <c r="C19" i="3" s="1"/>
  <c r="B18" i="3"/>
  <c r="C18" i="3" s="1"/>
  <c r="B17" i="3"/>
  <c r="C17" i="3" s="1"/>
  <c r="C16" i="3"/>
  <c r="B16" i="3"/>
  <c r="B15" i="3"/>
  <c r="C15" i="3" s="1"/>
  <c r="B14" i="3"/>
  <c r="C14" i="3" s="1"/>
  <c r="B13" i="3"/>
  <c r="C13" i="3" s="1"/>
  <c r="E13" i="3" s="1"/>
  <c r="C7" i="3"/>
  <c r="B86" i="2"/>
  <c r="B85" i="2"/>
  <c r="B84" i="2"/>
  <c r="B83" i="2"/>
  <c r="B82" i="2"/>
  <c r="B81" i="2"/>
  <c r="B80" i="2"/>
  <c r="B79" i="2"/>
  <c r="B78" i="2"/>
  <c r="B77" i="2"/>
  <c r="B70" i="2"/>
  <c r="B69" i="2"/>
  <c r="B68" i="2"/>
  <c r="B67" i="2"/>
  <c r="B66" i="2"/>
  <c r="B65" i="2"/>
  <c r="B64" i="2"/>
  <c r="B63" i="2"/>
  <c r="B62" i="2"/>
  <c r="B61" i="2"/>
  <c r="B60" i="2"/>
  <c r="B53" i="2"/>
  <c r="C53" i="2" s="1"/>
  <c r="B52" i="2"/>
  <c r="C52" i="2" s="1"/>
  <c r="B51" i="2"/>
  <c r="C51" i="2" s="1"/>
  <c r="B50" i="2"/>
  <c r="C50" i="2" s="1"/>
  <c r="B49" i="2"/>
  <c r="C49" i="2" s="1"/>
  <c r="B48" i="2"/>
  <c r="C48" i="2" s="1"/>
  <c r="B47" i="2"/>
  <c r="C47" i="2" s="1"/>
  <c r="B46" i="2"/>
  <c r="C46" i="2" s="1"/>
  <c r="B45" i="2"/>
  <c r="C45" i="2" s="1"/>
  <c r="B44" i="2"/>
  <c r="C44" i="2" s="1"/>
  <c r="E44" i="2" s="1"/>
  <c r="B34" i="2"/>
  <c r="C34" i="2" s="1"/>
  <c r="B33" i="2"/>
  <c r="C33" i="2" s="1"/>
  <c r="B32" i="2"/>
  <c r="C32" i="2" s="1"/>
  <c r="B31" i="2"/>
  <c r="C31" i="2" s="1"/>
  <c r="E31" i="2" s="1"/>
  <c r="B23" i="2"/>
  <c r="B16" i="2"/>
  <c r="C16" i="2" s="1"/>
  <c r="B15" i="2"/>
  <c r="C15" i="2" s="1"/>
  <c r="B14" i="2"/>
  <c r="C14" i="2" s="1"/>
  <c r="B13" i="2"/>
  <c r="C13" i="2" s="1"/>
  <c r="E13" i="2" s="1"/>
  <c r="B7" i="2"/>
  <c r="B25" i="2" s="1"/>
  <c r="B42" i="1"/>
  <c r="C42" i="1" s="1"/>
  <c r="B41" i="1"/>
  <c r="C41" i="1" s="1"/>
  <c r="B40" i="1"/>
  <c r="C40" i="1" s="1"/>
  <c r="B39" i="1"/>
  <c r="C39" i="1" s="1"/>
  <c r="B38" i="1"/>
  <c r="C38" i="1" s="1"/>
  <c r="B30" i="1"/>
  <c r="C30" i="1" s="1"/>
  <c r="B29" i="1"/>
  <c r="C29" i="1" s="1"/>
  <c r="B28" i="1"/>
  <c r="C28" i="1" s="1"/>
  <c r="B27" i="1"/>
  <c r="C27" i="1" s="1"/>
  <c r="B26" i="1"/>
  <c r="C26" i="1" s="1"/>
  <c r="B25" i="1"/>
  <c r="C25" i="1" s="1"/>
  <c r="E25" i="1" s="1"/>
  <c r="B24" i="1"/>
  <c r="C24" i="1" s="1"/>
  <c r="E24" i="1" s="1"/>
  <c r="C23" i="1"/>
  <c r="E23" i="1" s="1"/>
  <c r="B23" i="1"/>
  <c r="B9" i="1"/>
  <c r="B7" i="1"/>
  <c r="B11" i="1" s="1"/>
  <c r="B6" i="1"/>
  <c r="B13" i="1" l="1"/>
  <c r="B14" i="1"/>
  <c r="E14" i="3"/>
  <c r="E15" i="3" s="1"/>
  <c r="E16" i="3" s="1"/>
  <c r="E17" i="3" s="1"/>
  <c r="E18" i="3" s="1"/>
  <c r="E19" i="3" s="1"/>
  <c r="B21" i="3" s="1"/>
  <c r="E45" i="2"/>
  <c r="E46" i="2" s="1"/>
  <c r="E47" i="2" s="1"/>
  <c r="E48" i="2" s="1"/>
  <c r="E49" i="2" s="1"/>
  <c r="E50" i="2" s="1"/>
  <c r="E51" i="2" s="1"/>
  <c r="E52" i="2" s="1"/>
  <c r="E53" i="2" s="1"/>
  <c r="B55" i="2" s="1"/>
  <c r="E32" i="2"/>
  <c r="E33" i="2" s="1"/>
  <c r="E34" i="2" s="1"/>
  <c r="B36" i="2" s="1"/>
  <c r="E26" i="1"/>
  <c r="E27" i="1" s="1"/>
  <c r="E28" i="1" s="1"/>
  <c r="E29" i="1" s="1"/>
  <c r="E30" i="1" s="1"/>
  <c r="B32" i="1" s="1"/>
  <c r="E38" i="1" s="1"/>
  <c r="E39" i="1" s="1"/>
  <c r="E40" i="1" s="1"/>
  <c r="E41" i="1" s="1"/>
  <c r="E42" i="1" s="1"/>
  <c r="B44" i="1" s="1"/>
  <c r="B45" i="1" s="1"/>
  <c r="E14" i="2"/>
  <c r="E15" i="2" s="1"/>
  <c r="E16" i="2" s="1"/>
  <c r="B18" i="2" s="1"/>
  <c r="B37" i="2" l="1"/>
  <c r="C69" i="2"/>
  <c r="C68" i="2"/>
  <c r="C67" i="2"/>
  <c r="C66" i="2"/>
  <c r="C65" i="2"/>
  <c r="C60" i="2"/>
  <c r="E60" i="2" s="1"/>
  <c r="C70" i="2"/>
  <c r="C64" i="2"/>
  <c r="C63" i="2"/>
  <c r="C62" i="2"/>
  <c r="C61" i="2"/>
  <c r="B38" i="2"/>
  <c r="E28" i="3"/>
  <c r="E29" i="3" s="1"/>
  <c r="E30" i="3" s="1"/>
  <c r="B32" i="3" s="1"/>
  <c r="E42" i="3"/>
  <c r="E43" i="3" s="1"/>
  <c r="E44" i="3" s="1"/>
  <c r="B46" i="3" s="1"/>
  <c r="B47" i="3" s="1"/>
  <c r="C77" i="2" l="1"/>
  <c r="E77" i="2" s="1"/>
  <c r="C78" i="2"/>
  <c r="E78" i="2" s="1"/>
  <c r="C79" i="2"/>
  <c r="E79" i="2" s="1"/>
  <c r="C80" i="2"/>
  <c r="C81" i="2"/>
  <c r="C82" i="2"/>
  <c r="C83" i="2"/>
  <c r="C84" i="2"/>
  <c r="C85" i="2"/>
  <c r="C86" i="2"/>
  <c r="B60" i="3"/>
  <c r="B48" i="3"/>
  <c r="E61" i="2"/>
  <c r="E62" i="2" s="1"/>
  <c r="E63" i="2" s="1"/>
  <c r="E64" i="2" s="1"/>
  <c r="E65" i="2" s="1"/>
  <c r="E66" i="2" s="1"/>
  <c r="E67" i="2" s="1"/>
  <c r="E68" i="2" s="1"/>
  <c r="E69" i="2" s="1"/>
  <c r="E70" i="2" s="1"/>
  <c r="B72" i="2" s="1"/>
  <c r="C65" i="3" l="1"/>
  <c r="E65" i="3" s="1"/>
  <c r="C66" i="3"/>
  <c r="C67" i="3"/>
  <c r="C68" i="3"/>
  <c r="B49" i="3"/>
  <c r="C55" i="3"/>
  <c r="E55" i="3" s="1"/>
  <c r="C56" i="3"/>
  <c r="E56" i="3" s="1"/>
  <c r="C57" i="3"/>
  <c r="E80" i="2"/>
  <c r="E81" i="2" s="1"/>
  <c r="E82" i="2" s="1"/>
  <c r="E83" i="2" s="1"/>
  <c r="E84" i="2" s="1"/>
  <c r="E85" i="2" s="1"/>
  <c r="E86" i="2" s="1"/>
  <c r="B88" i="2" s="1"/>
  <c r="B89" i="2" s="1"/>
  <c r="B90" i="2" s="1"/>
  <c r="E57" i="3" l="1"/>
  <c r="B59" i="3" s="1"/>
  <c r="B71" i="3" s="1"/>
  <c r="B72" i="3" s="1"/>
  <c r="B73" i="3" s="1"/>
  <c r="E66" i="3"/>
  <c r="E67" i="3" s="1"/>
  <c r="E68" i="3" s="1"/>
  <c r="B70" i="3" s="1"/>
</calcChain>
</file>

<file path=xl/sharedStrings.xml><?xml version="1.0" encoding="utf-8"?>
<sst xmlns="http://schemas.openxmlformats.org/spreadsheetml/2006/main" count="283" uniqueCount="90">
  <si>
    <t>RSA — Tanda Tangan Digital dan Verifikasi</t>
  </si>
  <si>
    <t>1. Pembangkitan Kunci</t>
  </si>
  <si>
    <t>p (bilangan prima)</t>
  </si>
  <si>
    <t>input</t>
  </si>
  <si>
    <t>q (bilangan prima)</t>
  </si>
  <si>
    <t>n = p × q</t>
  </si>
  <si>
    <t>2000 ≤ n ≤ 3000</t>
  </si>
  <si>
    <t>φ(n) = (p-1)(q-1)</t>
  </si>
  <si>
    <t>e (kunci publik)</t>
  </si>
  <si>
    <t>dipilih, gcd(e,φ(n))=1</t>
  </si>
  <si>
    <t>Cek gcd(e, φ(n))</t>
  </si>
  <si>
    <t>harus = 1</t>
  </si>
  <si>
    <t>d (kunci privat)</t>
  </si>
  <si>
    <t>d = e^-1 mod φ(n), via Extended Euclidean Algorithm</t>
  </si>
  <si>
    <t>Verifikasi d: (e × d) mod φ(n)</t>
  </si>
  <si>
    <t>Kunci Publik  : (n, e) =</t>
  </si>
  <si>
    <t>Kunci Privat  : (n, d) =</t>
  </si>
  <si>
    <t>2. Pesan yang Akan Ditandatangani</t>
  </si>
  <si>
    <t>M (pesan, M &lt; n)</t>
  </si>
  <si>
    <t>3. Proses Penandatanganan: S = M^d mod n</t>
  </si>
  <si>
    <t>Square-and-Multiply  (basis = M, eksponen = d, modulus = n)</t>
  </si>
  <si>
    <t>Bit ke-i (MSB→LSB)</t>
  </si>
  <si>
    <t>2^i</t>
  </si>
  <si>
    <t>Bit eksponen (b_i)</t>
  </si>
  <si>
    <t>Rumus Hasil Sementara (Square-and-Multiply)</t>
  </si>
  <si>
    <t>Hasil</t>
  </si>
  <si>
    <t>awal</t>
  </si>
  <si>
    <t>-</t>
  </si>
  <si>
    <t>Hasil awal = 1</t>
  </si>
  <si>
    <t>IF(bit=1, (hasil_prev^2 mod n)*basis mod n, hasil_prev^2 mod n)</t>
  </si>
  <si>
    <t>Tanda Tangan Digital  S =</t>
  </si>
  <si>
    <t>4. Proses Verifikasi: M' = S^e mod n</t>
  </si>
  <si>
    <t>Square-and-Multiply  (basis = S, eksponen = e, modulus = n)</t>
  </si>
  <si>
    <t>Pesan Hasil Verifikasi  M' =</t>
  </si>
  <si>
    <t>Status Verifikasi (M' = M ?)</t>
  </si>
  <si>
    <t>El Gamal — Tanda Tangan Digital dan Verifikasi</t>
  </si>
  <si>
    <t>2000 ≤ p ≤ 3000</t>
  </si>
  <si>
    <t>g (akar primitif mod p)</t>
  </si>
  <si>
    <t>x (kunci privat)</t>
  </si>
  <si>
    <t>1 &lt; x &lt; p-1, input</t>
  </si>
  <si>
    <t>p - 1</t>
  </si>
  <si>
    <t>Hitung y = g^x mod p (kunci publik)</t>
  </si>
  <si>
    <t>Square-and-Multiply  (basis = g, eksponen = x, modulus = p)</t>
  </si>
  <si>
    <t>Kunci Publik  y = g^x mod p =</t>
  </si>
  <si>
    <t>m (pesan, m &lt; p-1)</t>
  </si>
  <si>
    <t>k (bilangan acak rahasia)</t>
  </si>
  <si>
    <t>gcd(k, p-1) = 1, input</t>
  </si>
  <si>
    <t>Cek gcd(k, p-1)</t>
  </si>
  <si>
    <t>k^-1 mod (p-1)</t>
  </si>
  <si>
    <t>invers modulo k, via Extended Euclidean Algorithm</t>
  </si>
  <si>
    <t>Verifikasi: (k × k^-1) mod (p-1)</t>
  </si>
  <si>
    <t>3. Proses Penandatanganan: r = g^k mod p ;  s = (m - x·r)·k^-1 mod (p-1)</t>
  </si>
  <si>
    <t>Square-and-Multiply  (basis = g, eksponen = k, modulus = p)</t>
  </si>
  <si>
    <t>r = g^k mod p =</t>
  </si>
  <si>
    <t>s = (m - x·r) × k^-1 mod (p-1) =</t>
  </si>
  <si>
    <t>Tanda Tangan Digital = (r, s) =</t>
  </si>
  <si>
    <t>4. Proses Verifikasi: cek  g^m mod p  =  (y^r × r^s) mod p</t>
  </si>
  <si>
    <t>Ruas kiri: Square-and-Multiply  (basis = g, eksponen = m, modulus = p)</t>
  </si>
  <si>
    <t>Ruas Kiri = g^m mod p =</t>
  </si>
  <si>
    <t>Ruas kanan bagian-1: Square-and-Multiply  (basis = y, eksponen = r, modulus = p)</t>
  </si>
  <si>
    <t>y^r mod p =</t>
  </si>
  <si>
    <t>Ruas kanan bagian-2: Square-and-Multiply  (basis = r, eksponen = s, modulus = p)</t>
  </si>
  <si>
    <t>r^s mod p =</t>
  </si>
  <si>
    <t>Ruas Kanan = (y^r × r^s) mod p =</t>
  </si>
  <si>
    <t>Status Verifikasi (Kiri = Kanan ?)</t>
  </si>
  <si>
    <t>Schnorr — Tanda Tangan Digital dan Verifikasi</t>
  </si>
  <si>
    <t>q (prima pembagi p-1)</t>
  </si>
  <si>
    <t>p-1 = 2356 = 2^2 × 19 × 31</t>
  </si>
  <si>
    <t>h (basis bantu, 1 &lt; h &lt; p)</t>
  </si>
  <si>
    <t>(p-1)/q (eksponen pembentuk g)</t>
  </si>
  <si>
    <t>Hitung g = h^((p-1)/q) mod p  (generator orde q)</t>
  </si>
  <si>
    <t>Square-and-Multiply  (basis = h, eksponen = (p-1)/q, modulus = p)</t>
  </si>
  <si>
    <t>g = h^((p-1)/q) mod p =</t>
  </si>
  <si>
    <t>1 &lt; x &lt; q, input</t>
  </si>
  <si>
    <t>Hitung y = g^x mod p  (kunci publik)</t>
  </si>
  <si>
    <t>m (pesan)</t>
  </si>
  <si>
    <t>k (bilangan acak rahasia, 1&lt;k&lt;q)</t>
  </si>
  <si>
    <t>3. Proses Penandatanganan: r = g^k mod p ; e = (r+m) mod q ; s = (k+x·e) mod q</t>
  </si>
  <si>
    <t>e = (r + m) mod q   [fungsi hash sederhana]</t>
  </si>
  <si>
    <t>s = (k + x × e) mod q =</t>
  </si>
  <si>
    <t>Tanda Tangan Digital = (s, e) =</t>
  </si>
  <si>
    <t>4. Proses Verifikasi: r' = g^s × y^(q-e) mod p ; e' = (r'+m) mod q ; cek e' = e</t>
  </si>
  <si>
    <t>Bagian-1: Square-and-Multiply  (basis = g, eksponen = s, modulus = p)</t>
  </si>
  <si>
    <t>g^s mod p =</t>
  </si>
  <si>
    <t>(q - e)  [eksponen invers y]</t>
  </si>
  <si>
    <t>Bagian-2: Square-and-Multiply  (basis = y, eksponen = (q-e), modulus = p)</t>
  </si>
  <si>
    <t>y^(q-e) mod p =</t>
  </si>
  <si>
    <t>r' = (g^s × y^(q-e)) mod p =</t>
  </si>
  <si>
    <t>e' = (r' + m) mod q =</t>
  </si>
  <si>
    <t>Status Verifikasi (e' = e ?)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</si>
</sst>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1"/>
      <color theme="1"/>
      <name val="Arial"/>
    </font>
    <font>
      <b/>
      <sz val="10"/>
      <name val="Arial"/>
    </font>
    <font>
      <sz val="10"/>
      <color rgb="FF0000FF"/>
      <name val="Arial"/>
    </font>
    <font>
      <i/>
      <sz val="9"/>
      <color rgb="FF808080"/>
      <name val="Arial"/>
    </font>
    <font>
      <sz val="10"/>
      <color rgb="FF000000"/>
      <name val="Arial"/>
    </font>
    <font>
      <b/>
      <i/>
      <sz val="10"/>
      <color rgb="FF1F4E78"/>
      <name val="Arial"/>
    </font>
    <font>
      <i/>
      <sz val="9"/>
      <color rgb="FF555555"/>
      <name val="Arial"/>
    </font>
    <font>
      <b/>
      <sz val="10"/>
      <color rgb="FF008000"/>
      <name val="Arial"/>
    </font>
    <font>
      <b/>
      <sz val="14"/>
      <name val="Arial"/>
      <family val="2"/>
    </font>
    <font>
      <sz val="11"/>
      <name val="Arial"/>
      <family val="2"/>
    </font>
    <font>
      <b/>
      <sz val="1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FFF2CC"/>
      </patternFill>
    </fill>
    <fill>
      <patternFill patternType="solid">
        <fgColor theme="6"/>
        <bgColor indexed="64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/>
    <xf numFmtId="0" fontId="4" fillId="0" borderId="0" xfId="0" applyFont="1"/>
    <xf numFmtId="0" fontId="5" fillId="0" borderId="1" xfId="0" applyFont="1" applyBorder="1"/>
    <xf numFmtId="0" fontId="5" fillId="0" borderId="0" xfId="0" applyFont="1"/>
    <xf numFmtId="0" fontId="6" fillId="0" borderId="0" xfId="0" applyFont="1"/>
    <xf numFmtId="0" fontId="2" fillId="2" borderId="1" xfId="0" applyFont="1" applyFill="1" applyBorder="1"/>
    <xf numFmtId="0" fontId="1" fillId="0" borderId="1" xfId="0" applyFont="1" applyBorder="1"/>
    <xf numFmtId="0" fontId="7" fillId="0" borderId="1" xfId="0" applyFont="1" applyBorder="1"/>
    <xf numFmtId="0" fontId="5" fillId="3" borderId="1" xfId="0" applyFont="1" applyFill="1" applyBorder="1"/>
    <xf numFmtId="0" fontId="8" fillId="0" borderId="1" xfId="0" applyFont="1" applyBorder="1"/>
    <xf numFmtId="0" fontId="11" fillId="4" borderId="0" xfId="0" applyFont="1" applyFill="1"/>
    <xf numFmtId="0" fontId="10" fillId="4" borderId="0" xfId="0" applyFont="1" applyFill="1"/>
    <xf numFmtId="0" fontId="9" fillId="4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5"/>
  <sheetViews>
    <sheetView tabSelected="1" workbookViewId="0">
      <selection activeCell="A34" sqref="A34:E34"/>
    </sheetView>
  </sheetViews>
  <sheetFormatPr defaultRowHeight="14.5" x14ac:dyDescent="0.35"/>
  <cols>
    <col min="1" max="1" width="26" customWidth="1"/>
    <col min="2" max="2" width="16" customWidth="1"/>
    <col min="3" max="3" width="50" customWidth="1"/>
    <col min="4" max="5" width="14" customWidth="1"/>
  </cols>
  <sheetData>
    <row r="1" spans="1:5" ht="22" customHeight="1" x14ac:dyDescent="0.35">
      <c r="A1" s="15" t="s">
        <v>0</v>
      </c>
      <c r="B1" s="14"/>
      <c r="C1" s="14"/>
      <c r="D1" s="14"/>
      <c r="E1" s="14"/>
    </row>
    <row r="2" spans="1:5" x14ac:dyDescent="0.35">
      <c r="A2" s="1"/>
      <c r="B2" s="1"/>
      <c r="C2" s="1"/>
      <c r="D2" s="1"/>
      <c r="E2" s="1"/>
    </row>
    <row r="3" spans="1:5" ht="15.5" x14ac:dyDescent="0.35">
      <c r="A3" s="13" t="s">
        <v>1</v>
      </c>
      <c r="B3" s="14"/>
      <c r="C3" s="14"/>
      <c r="D3" s="14"/>
      <c r="E3" s="14"/>
    </row>
    <row r="4" spans="1:5" x14ac:dyDescent="0.35">
      <c r="A4" s="2" t="s">
        <v>2</v>
      </c>
      <c r="B4" s="3">
        <v>47</v>
      </c>
      <c r="C4" s="4" t="s">
        <v>3</v>
      </c>
      <c r="D4" s="1"/>
      <c r="E4" s="1"/>
    </row>
    <row r="5" spans="1:5" x14ac:dyDescent="0.35">
      <c r="A5" s="2" t="s">
        <v>4</v>
      </c>
      <c r="B5" s="3">
        <v>59</v>
      </c>
      <c r="C5" s="4" t="s">
        <v>3</v>
      </c>
      <c r="D5" s="1"/>
      <c r="E5" s="1"/>
    </row>
    <row r="6" spans="1:5" x14ac:dyDescent="0.35">
      <c r="A6" s="2" t="s">
        <v>5</v>
      </c>
      <c r="B6" s="5">
        <f>B4*B5</f>
        <v>2773</v>
      </c>
      <c r="C6" s="4" t="s">
        <v>6</v>
      </c>
      <c r="D6" s="1"/>
      <c r="E6" s="1"/>
    </row>
    <row r="7" spans="1:5" x14ac:dyDescent="0.35">
      <c r="A7" s="2" t="s">
        <v>7</v>
      </c>
      <c r="B7" s="5">
        <f>(B4-1)*(B5-1)</f>
        <v>2668</v>
      </c>
      <c r="C7" s="1"/>
      <c r="D7" s="1"/>
      <c r="E7" s="1"/>
    </row>
    <row r="8" spans="1:5" x14ac:dyDescent="0.35">
      <c r="A8" s="2" t="s">
        <v>8</v>
      </c>
      <c r="B8" s="3">
        <v>17</v>
      </c>
      <c r="C8" s="4" t="s">
        <v>9</v>
      </c>
      <c r="D8" s="1"/>
      <c r="E8" s="1"/>
    </row>
    <row r="9" spans="1:5" x14ac:dyDescent="0.35">
      <c r="A9" s="2" t="s">
        <v>10</v>
      </c>
      <c r="B9" s="5">
        <f>GCD(B8,B7)</f>
        <v>1</v>
      </c>
      <c r="C9" s="4" t="s">
        <v>11</v>
      </c>
      <c r="D9" s="1"/>
      <c r="E9" s="1"/>
    </row>
    <row r="10" spans="1:5" x14ac:dyDescent="0.35">
      <c r="A10" s="2" t="s">
        <v>12</v>
      </c>
      <c r="B10" s="3">
        <v>157</v>
      </c>
      <c r="C10" s="4" t="s">
        <v>13</v>
      </c>
      <c r="D10" s="1"/>
      <c r="E10" s="1"/>
    </row>
    <row r="11" spans="1:5" x14ac:dyDescent="0.35">
      <c r="A11" s="2" t="s">
        <v>14</v>
      </c>
      <c r="B11" s="5">
        <f>MOD(B8*B10,B7)</f>
        <v>1</v>
      </c>
      <c r="C11" s="4" t="s">
        <v>11</v>
      </c>
      <c r="D11" s="1"/>
      <c r="E11" s="1"/>
    </row>
    <row r="12" spans="1:5" x14ac:dyDescent="0.35">
      <c r="A12" s="1"/>
      <c r="B12" s="1"/>
      <c r="C12" s="1"/>
      <c r="D12" s="1"/>
      <c r="E12" s="1"/>
    </row>
    <row r="13" spans="1:5" x14ac:dyDescent="0.35">
      <c r="A13" s="2" t="s">
        <v>15</v>
      </c>
      <c r="B13" s="6" t="str">
        <f>"("&amp;B6&amp;", "&amp;B8&amp;")"</f>
        <v>(2773, 17)</v>
      </c>
      <c r="C13" s="1"/>
      <c r="D13" s="1"/>
      <c r="E13" s="1"/>
    </row>
    <row r="14" spans="1:5" x14ac:dyDescent="0.35">
      <c r="A14" s="2" t="s">
        <v>16</v>
      </c>
      <c r="B14" s="6" t="str">
        <f>"("&amp;B6&amp;", "&amp;B10&amp;")"</f>
        <v>(2773, 157)</v>
      </c>
      <c r="C14" s="1"/>
      <c r="D14" s="1"/>
      <c r="E14" s="1"/>
    </row>
    <row r="15" spans="1:5" x14ac:dyDescent="0.35">
      <c r="A15" s="1"/>
      <c r="B15" s="1"/>
      <c r="C15" s="1"/>
      <c r="D15" s="1"/>
      <c r="E15" s="1"/>
    </row>
    <row r="16" spans="1:5" ht="15.5" x14ac:dyDescent="0.35">
      <c r="A16" s="13" t="s">
        <v>17</v>
      </c>
      <c r="B16" s="14"/>
      <c r="C16" s="14"/>
      <c r="D16" s="14"/>
      <c r="E16" s="14"/>
    </row>
    <row r="17" spans="1:5" x14ac:dyDescent="0.35">
      <c r="A17" s="2" t="s">
        <v>18</v>
      </c>
      <c r="B17" s="3">
        <v>1234</v>
      </c>
      <c r="C17" s="4" t="s">
        <v>3</v>
      </c>
      <c r="D17" s="1"/>
      <c r="E17" s="1"/>
    </row>
    <row r="18" spans="1:5" x14ac:dyDescent="0.35">
      <c r="A18" s="1"/>
      <c r="B18" s="1"/>
      <c r="C18" s="1"/>
      <c r="D18" s="1"/>
      <c r="E18" s="1"/>
    </row>
    <row r="19" spans="1:5" ht="15.5" x14ac:dyDescent="0.35">
      <c r="A19" s="13" t="s">
        <v>19</v>
      </c>
      <c r="B19" s="14"/>
      <c r="C19" s="14"/>
      <c r="D19" s="14"/>
      <c r="E19" s="14"/>
    </row>
    <row r="20" spans="1:5" x14ac:dyDescent="0.35">
      <c r="A20" s="7" t="s">
        <v>20</v>
      </c>
      <c r="B20" s="1"/>
      <c r="C20" s="1"/>
      <c r="D20" s="1"/>
      <c r="E20" s="1"/>
    </row>
    <row r="21" spans="1:5" x14ac:dyDescent="0.35">
      <c r="A21" s="8" t="s">
        <v>21</v>
      </c>
      <c r="B21" s="8" t="s">
        <v>22</v>
      </c>
      <c r="C21" s="8" t="s">
        <v>23</v>
      </c>
      <c r="D21" s="8" t="s">
        <v>24</v>
      </c>
      <c r="E21" s="8" t="s">
        <v>25</v>
      </c>
    </row>
    <row r="22" spans="1:5" x14ac:dyDescent="0.35">
      <c r="A22" s="9" t="s">
        <v>26</v>
      </c>
      <c r="B22" s="9" t="s">
        <v>27</v>
      </c>
      <c r="C22" s="9" t="s">
        <v>27</v>
      </c>
      <c r="D22" s="9" t="s">
        <v>28</v>
      </c>
      <c r="E22" s="5">
        <v>1</v>
      </c>
    </row>
    <row r="23" spans="1:5" x14ac:dyDescent="0.35">
      <c r="A23" s="9">
        <v>7</v>
      </c>
      <c r="B23" s="5">
        <f>2^7</f>
        <v>128</v>
      </c>
      <c r="C23" s="5">
        <f t="shared" ref="C23:C30" si="0">MOD(INT($B$10/B23),2)</f>
        <v>1</v>
      </c>
      <c r="D23" s="10" t="s">
        <v>29</v>
      </c>
      <c r="E23" s="5">
        <f t="shared" ref="E23:E30" si="1">IF(C23=1,MOD(MOD(E22^2,$B$6)*$B$17,$B$6),MOD(E22^2,$B$6))</f>
        <v>1234</v>
      </c>
    </row>
    <row r="24" spans="1:5" x14ac:dyDescent="0.35">
      <c r="A24" s="9">
        <v>6</v>
      </c>
      <c r="B24" s="5">
        <f>2^6</f>
        <v>64</v>
      </c>
      <c r="C24" s="5">
        <f t="shared" si="0"/>
        <v>0</v>
      </c>
      <c r="D24" s="10" t="s">
        <v>29</v>
      </c>
      <c r="E24" s="5">
        <f t="shared" si="1"/>
        <v>379</v>
      </c>
    </row>
    <row r="25" spans="1:5" x14ac:dyDescent="0.35">
      <c r="A25" s="9">
        <v>5</v>
      </c>
      <c r="B25" s="5">
        <f>2^5</f>
        <v>32</v>
      </c>
      <c r="C25" s="5">
        <f t="shared" si="0"/>
        <v>0</v>
      </c>
      <c r="D25" s="10" t="s">
        <v>29</v>
      </c>
      <c r="E25" s="5">
        <f t="shared" si="1"/>
        <v>2218</v>
      </c>
    </row>
    <row r="26" spans="1:5" x14ac:dyDescent="0.35">
      <c r="A26" s="9">
        <v>4</v>
      </c>
      <c r="B26" s="5">
        <f>2^4</f>
        <v>16</v>
      </c>
      <c r="C26" s="5">
        <f t="shared" si="0"/>
        <v>1</v>
      </c>
      <c r="D26" s="10" t="s">
        <v>29</v>
      </c>
      <c r="E26" s="5">
        <f t="shared" si="1"/>
        <v>2194</v>
      </c>
    </row>
    <row r="27" spans="1:5" x14ac:dyDescent="0.35">
      <c r="A27" s="9">
        <v>3</v>
      </c>
      <c r="B27" s="5">
        <f>2^3</f>
        <v>8</v>
      </c>
      <c r="C27" s="5">
        <f t="shared" si="0"/>
        <v>1</v>
      </c>
      <c r="D27" s="10" t="s">
        <v>29</v>
      </c>
      <c r="E27" s="5">
        <f t="shared" si="1"/>
        <v>162</v>
      </c>
    </row>
    <row r="28" spans="1:5" x14ac:dyDescent="0.35">
      <c r="A28" s="9">
        <v>2</v>
      </c>
      <c r="B28" s="5">
        <f>2^2</f>
        <v>4</v>
      </c>
      <c r="C28" s="5">
        <f t="shared" si="0"/>
        <v>1</v>
      </c>
      <c r="D28" s="10" t="s">
        <v>29</v>
      </c>
      <c r="E28" s="5">
        <f t="shared" si="1"/>
        <v>2002</v>
      </c>
    </row>
    <row r="29" spans="1:5" x14ac:dyDescent="0.35">
      <c r="A29" s="9">
        <v>1</v>
      </c>
      <c r="B29" s="5">
        <f>2^1</f>
        <v>2</v>
      </c>
      <c r="C29" s="5">
        <f t="shared" si="0"/>
        <v>0</v>
      </c>
      <c r="D29" s="10" t="s">
        <v>29</v>
      </c>
      <c r="E29" s="5">
        <f t="shared" si="1"/>
        <v>1019</v>
      </c>
    </row>
    <row r="30" spans="1:5" x14ac:dyDescent="0.35">
      <c r="A30" s="9">
        <v>0</v>
      </c>
      <c r="B30" s="5">
        <f>2^0</f>
        <v>1</v>
      </c>
      <c r="C30" s="5">
        <f t="shared" si="0"/>
        <v>1</v>
      </c>
      <c r="D30" s="10" t="s">
        <v>29</v>
      </c>
      <c r="E30" s="5">
        <f t="shared" si="1"/>
        <v>726</v>
      </c>
    </row>
    <row r="31" spans="1:5" x14ac:dyDescent="0.35">
      <c r="A31" s="1"/>
      <c r="B31" s="1"/>
      <c r="C31" s="1"/>
      <c r="D31" s="1"/>
      <c r="E31" s="1"/>
    </row>
    <row r="32" spans="1:5" x14ac:dyDescent="0.35">
      <c r="A32" s="2" t="s">
        <v>30</v>
      </c>
      <c r="B32" s="11">
        <f>E30</f>
        <v>726</v>
      </c>
      <c r="C32" s="1"/>
      <c r="D32" s="1"/>
      <c r="E32" s="1"/>
    </row>
    <row r="33" spans="1:5" x14ac:dyDescent="0.35">
      <c r="A33" s="1"/>
      <c r="B33" s="1"/>
      <c r="C33" s="1"/>
      <c r="D33" s="1"/>
      <c r="E33" s="1"/>
    </row>
    <row r="34" spans="1:5" ht="15.5" x14ac:dyDescent="0.35">
      <c r="A34" s="13" t="s">
        <v>31</v>
      </c>
      <c r="B34" s="14"/>
      <c r="C34" s="14"/>
      <c r="D34" s="14"/>
      <c r="E34" s="14"/>
    </row>
    <row r="35" spans="1:5" x14ac:dyDescent="0.35">
      <c r="A35" s="7" t="s">
        <v>32</v>
      </c>
      <c r="B35" s="1"/>
      <c r="C35" s="1"/>
      <c r="D35" s="1"/>
      <c r="E35" s="1"/>
    </row>
    <row r="36" spans="1:5" x14ac:dyDescent="0.35">
      <c r="A36" s="8" t="s">
        <v>21</v>
      </c>
      <c r="B36" s="8" t="s">
        <v>22</v>
      </c>
      <c r="C36" s="8" t="s">
        <v>23</v>
      </c>
      <c r="D36" s="8" t="s">
        <v>24</v>
      </c>
      <c r="E36" s="8" t="s">
        <v>25</v>
      </c>
    </row>
    <row r="37" spans="1:5" x14ac:dyDescent="0.35">
      <c r="A37" s="9" t="s">
        <v>26</v>
      </c>
      <c r="B37" s="9" t="s">
        <v>27</v>
      </c>
      <c r="C37" s="9" t="s">
        <v>27</v>
      </c>
      <c r="D37" s="9" t="s">
        <v>28</v>
      </c>
      <c r="E37" s="5">
        <v>1</v>
      </c>
    </row>
    <row r="38" spans="1:5" x14ac:dyDescent="0.35">
      <c r="A38" s="9">
        <v>4</v>
      </c>
      <c r="B38" s="5">
        <f>2^4</f>
        <v>16</v>
      </c>
      <c r="C38" s="5">
        <f>MOD(INT($B$8/B38),2)</f>
        <v>1</v>
      </c>
      <c r="D38" s="10" t="s">
        <v>29</v>
      </c>
      <c r="E38" s="5">
        <f>IF(C38=1,MOD(MOD(E37^2,$B$6)*$B$32,$B$6),MOD(E37^2,$B$6))</f>
        <v>726</v>
      </c>
    </row>
    <row r="39" spans="1:5" x14ac:dyDescent="0.35">
      <c r="A39" s="9">
        <v>3</v>
      </c>
      <c r="B39" s="5">
        <f>2^3</f>
        <v>8</v>
      </c>
      <c r="C39" s="5">
        <f>MOD(INT($B$8/B39),2)</f>
        <v>0</v>
      </c>
      <c r="D39" s="10" t="s">
        <v>29</v>
      </c>
      <c r="E39" s="5">
        <f>IF(C39=1,MOD(MOD(E38^2,$B$6)*$B$32,$B$6),MOD(E38^2,$B$6))</f>
        <v>206</v>
      </c>
    </row>
    <row r="40" spans="1:5" x14ac:dyDescent="0.35">
      <c r="A40" s="9">
        <v>2</v>
      </c>
      <c r="B40" s="5">
        <f>2^2</f>
        <v>4</v>
      </c>
      <c r="C40" s="5">
        <f>MOD(INT($B$8/B40),2)</f>
        <v>0</v>
      </c>
      <c r="D40" s="10" t="s">
        <v>29</v>
      </c>
      <c r="E40" s="5">
        <f>IF(C40=1,MOD(MOD(E39^2,$B$6)*$B$32,$B$6),MOD(E39^2,$B$6))</f>
        <v>841</v>
      </c>
    </row>
    <row r="41" spans="1:5" x14ac:dyDescent="0.35">
      <c r="A41" s="9">
        <v>1</v>
      </c>
      <c r="B41" s="5">
        <f>2^1</f>
        <v>2</v>
      </c>
      <c r="C41" s="5">
        <f>MOD(INT($B$8/B41),2)</f>
        <v>0</v>
      </c>
      <c r="D41" s="10" t="s">
        <v>29</v>
      </c>
      <c r="E41" s="5">
        <f>IF(C41=1,MOD(MOD(E40^2,$B$6)*$B$32,$B$6),MOD(E40^2,$B$6))</f>
        <v>166</v>
      </c>
    </row>
    <row r="42" spans="1:5" x14ac:dyDescent="0.35">
      <c r="A42" s="9">
        <v>0</v>
      </c>
      <c r="B42" s="5">
        <f>2^0</f>
        <v>1</v>
      </c>
      <c r="C42" s="5">
        <f>MOD(INT($B$8/B42),2)</f>
        <v>1</v>
      </c>
      <c r="D42" s="10" t="s">
        <v>29</v>
      </c>
      <c r="E42" s="5">
        <f>IF(C42=1,MOD(MOD(E41^2,$B$6)*$B$32,$B$6),MOD(E41^2,$B$6))</f>
        <v>1234</v>
      </c>
    </row>
    <row r="43" spans="1:5" x14ac:dyDescent="0.35">
      <c r="A43" s="1"/>
      <c r="B43" s="1"/>
      <c r="C43" s="1"/>
      <c r="D43" s="1"/>
      <c r="E43" s="1"/>
    </row>
    <row r="44" spans="1:5" x14ac:dyDescent="0.35">
      <c r="A44" s="2" t="s">
        <v>33</v>
      </c>
      <c r="B44" s="11">
        <f>E42</f>
        <v>1234</v>
      </c>
      <c r="C44" s="1"/>
      <c r="D44" s="1"/>
      <c r="E44" s="1"/>
    </row>
    <row r="45" spans="1:5" x14ac:dyDescent="0.35">
      <c r="A45" s="2" t="s">
        <v>34</v>
      </c>
      <c r="B45" s="12" t="str">
        <f>IF(B44=B17,"VALID","TIDAK VALID")</f>
        <v>VALID</v>
      </c>
      <c r="C45" s="1"/>
      <c r="D45" s="1"/>
      <c r="E45" s="1"/>
    </row>
  </sheetData>
  <mergeCells count="5">
    <mergeCell ref="A34:E34"/>
    <mergeCell ref="A16:E16"/>
    <mergeCell ref="A19:E19"/>
    <mergeCell ref="A1:E1"/>
    <mergeCell ref="A3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90"/>
  <sheetViews>
    <sheetView topLeftCell="A76" workbookViewId="0">
      <selection sqref="A1:E1"/>
    </sheetView>
  </sheetViews>
  <sheetFormatPr defaultRowHeight="14.5" x14ac:dyDescent="0.35"/>
  <cols>
    <col min="1" max="1" width="30" customWidth="1"/>
    <col min="2" max="2" width="16" customWidth="1"/>
    <col min="3" max="3" width="55" customWidth="1"/>
    <col min="4" max="4" width="49.453125" bestFit="1" customWidth="1"/>
    <col min="5" max="5" width="14" customWidth="1"/>
  </cols>
  <sheetData>
    <row r="1" spans="1:5" ht="22" customHeight="1" x14ac:dyDescent="0.35">
      <c r="A1" s="15" t="s">
        <v>35</v>
      </c>
      <c r="B1" s="14"/>
      <c r="C1" s="14"/>
      <c r="D1" s="14"/>
      <c r="E1" s="14"/>
    </row>
    <row r="2" spans="1:5" x14ac:dyDescent="0.35">
      <c r="A2" s="1"/>
      <c r="B2" s="1"/>
      <c r="C2" s="1"/>
      <c r="D2" s="1"/>
      <c r="E2" s="1"/>
    </row>
    <row r="3" spans="1:5" ht="15.5" x14ac:dyDescent="0.35">
      <c r="A3" s="13" t="s">
        <v>1</v>
      </c>
      <c r="B3" s="14"/>
      <c r="C3" s="14"/>
      <c r="D3" s="14"/>
      <c r="E3" s="14"/>
    </row>
    <row r="4" spans="1:5" x14ac:dyDescent="0.35">
      <c r="A4" s="2" t="s">
        <v>2</v>
      </c>
      <c r="B4" s="3">
        <v>2357</v>
      </c>
      <c r="C4" s="4" t="s">
        <v>36</v>
      </c>
      <c r="D4" s="1"/>
      <c r="E4" s="1"/>
    </row>
    <row r="5" spans="1:5" x14ac:dyDescent="0.35">
      <c r="A5" s="2" t="s">
        <v>37</v>
      </c>
      <c r="B5" s="3">
        <v>2</v>
      </c>
      <c r="C5" s="4" t="s">
        <v>3</v>
      </c>
      <c r="D5" s="1"/>
      <c r="E5" s="1"/>
    </row>
    <row r="6" spans="1:5" x14ac:dyDescent="0.35">
      <c r="A6" s="2" t="s">
        <v>38</v>
      </c>
      <c r="B6" s="3">
        <v>15</v>
      </c>
      <c r="C6" s="4" t="s">
        <v>39</v>
      </c>
      <c r="D6" s="1"/>
      <c r="E6" s="1"/>
    </row>
    <row r="7" spans="1:5" x14ac:dyDescent="0.35">
      <c r="A7" s="2" t="s">
        <v>40</v>
      </c>
      <c r="B7" s="5">
        <f>B4-1</f>
        <v>2356</v>
      </c>
      <c r="C7" s="1"/>
      <c r="D7" s="1"/>
      <c r="E7" s="1"/>
    </row>
    <row r="8" spans="1:5" x14ac:dyDescent="0.35">
      <c r="A8" s="1"/>
      <c r="B8" s="1"/>
      <c r="C8" s="1"/>
      <c r="D8" s="1"/>
      <c r="E8" s="1"/>
    </row>
    <row r="9" spans="1:5" ht="15.5" x14ac:dyDescent="0.35">
      <c r="A9" s="13" t="s">
        <v>41</v>
      </c>
      <c r="B9" s="14"/>
      <c r="C9" s="14"/>
      <c r="D9" s="14"/>
      <c r="E9" s="14"/>
    </row>
    <row r="10" spans="1:5" x14ac:dyDescent="0.35">
      <c r="A10" s="7" t="s">
        <v>42</v>
      </c>
      <c r="B10" s="1"/>
      <c r="C10" s="1"/>
      <c r="D10" s="1"/>
      <c r="E10" s="1"/>
    </row>
    <row r="11" spans="1:5" x14ac:dyDescent="0.35">
      <c r="A11" s="8" t="s">
        <v>21</v>
      </c>
      <c r="B11" s="8" t="s">
        <v>22</v>
      </c>
      <c r="C11" s="8" t="s">
        <v>23</v>
      </c>
      <c r="D11" s="8" t="s">
        <v>24</v>
      </c>
      <c r="E11" s="8" t="s">
        <v>25</v>
      </c>
    </row>
    <row r="12" spans="1:5" x14ac:dyDescent="0.35">
      <c r="A12" s="9" t="s">
        <v>26</v>
      </c>
      <c r="B12" s="9" t="s">
        <v>27</v>
      </c>
      <c r="C12" s="9" t="s">
        <v>27</v>
      </c>
      <c r="D12" s="9" t="s">
        <v>28</v>
      </c>
      <c r="E12" s="5">
        <v>1</v>
      </c>
    </row>
    <row r="13" spans="1:5" x14ac:dyDescent="0.35">
      <c r="A13" s="9">
        <v>3</v>
      </c>
      <c r="B13" s="5">
        <f>2^3</f>
        <v>8</v>
      </c>
      <c r="C13" s="5">
        <f>MOD(INT($B$6/B13),2)</f>
        <v>1</v>
      </c>
      <c r="D13" s="10" t="s">
        <v>29</v>
      </c>
      <c r="E13" s="5">
        <f>IF(C13=1,MOD(MOD(E12^2,$B$4)*$B$5,$B$4),MOD(E12^2,$B$4))</f>
        <v>2</v>
      </c>
    </row>
    <row r="14" spans="1:5" x14ac:dyDescent="0.35">
      <c r="A14" s="9">
        <v>2</v>
      </c>
      <c r="B14" s="5">
        <f>2^2</f>
        <v>4</v>
      </c>
      <c r="C14" s="5">
        <f>MOD(INT($B$6/B14),2)</f>
        <v>1</v>
      </c>
      <c r="D14" s="10" t="s">
        <v>29</v>
      </c>
      <c r="E14" s="5">
        <f>IF(C14=1,MOD(MOD(E13^2,$B$4)*$B$5,$B$4),MOD(E13^2,$B$4))</f>
        <v>8</v>
      </c>
    </row>
    <row r="15" spans="1:5" x14ac:dyDescent="0.35">
      <c r="A15" s="9">
        <v>1</v>
      </c>
      <c r="B15" s="5">
        <f>2^1</f>
        <v>2</v>
      </c>
      <c r="C15" s="5">
        <f>MOD(INT($B$6/B15),2)</f>
        <v>1</v>
      </c>
      <c r="D15" s="10" t="s">
        <v>29</v>
      </c>
      <c r="E15" s="5">
        <f>IF(C15=1,MOD(MOD(E14^2,$B$4)*$B$5,$B$4),MOD(E14^2,$B$4))</f>
        <v>128</v>
      </c>
    </row>
    <row r="16" spans="1:5" x14ac:dyDescent="0.35">
      <c r="A16" s="9">
        <v>0</v>
      </c>
      <c r="B16" s="5">
        <f>2^0</f>
        <v>1</v>
      </c>
      <c r="C16" s="5">
        <f>MOD(INT($B$6/B16),2)</f>
        <v>1</v>
      </c>
      <c r="D16" s="10" t="s">
        <v>29</v>
      </c>
      <c r="E16" s="5">
        <f>IF(C16=1,MOD(MOD(E15^2,$B$4)*$B$5,$B$4),MOD(E15^2,$B$4))</f>
        <v>2127</v>
      </c>
    </row>
    <row r="17" spans="1:5" x14ac:dyDescent="0.35">
      <c r="A17" s="1"/>
      <c r="B17" s="1"/>
      <c r="C17" s="1"/>
      <c r="D17" s="1"/>
      <c r="E17" s="1"/>
    </row>
    <row r="18" spans="1:5" x14ac:dyDescent="0.35">
      <c r="A18" s="2" t="s">
        <v>43</v>
      </c>
      <c r="B18" s="11">
        <f>E16</f>
        <v>2127</v>
      </c>
      <c r="C18" s="1"/>
      <c r="D18" s="1"/>
      <c r="E18" s="1"/>
    </row>
    <row r="19" spans="1:5" x14ac:dyDescent="0.35">
      <c r="A19" s="1"/>
      <c r="B19" s="1"/>
      <c r="C19" s="1"/>
      <c r="D19" s="1"/>
      <c r="E19" s="1"/>
    </row>
    <row r="20" spans="1:5" ht="15.5" x14ac:dyDescent="0.35">
      <c r="A20" s="13" t="s">
        <v>17</v>
      </c>
      <c r="B20" s="14"/>
      <c r="C20" s="14"/>
      <c r="D20" s="14"/>
      <c r="E20" s="14"/>
    </row>
    <row r="21" spans="1:5" x14ac:dyDescent="0.35">
      <c r="A21" s="2" t="s">
        <v>44</v>
      </c>
      <c r="B21" s="3">
        <v>1000</v>
      </c>
      <c r="C21" s="4" t="s">
        <v>3</v>
      </c>
      <c r="D21" s="1"/>
      <c r="E21" s="1"/>
    </row>
    <row r="22" spans="1:5" x14ac:dyDescent="0.35">
      <c r="A22" s="2" t="s">
        <v>45</v>
      </c>
      <c r="B22" s="3">
        <v>13</v>
      </c>
      <c r="C22" s="4" t="s">
        <v>46</v>
      </c>
      <c r="D22" s="1"/>
      <c r="E22" s="1"/>
    </row>
    <row r="23" spans="1:5" x14ac:dyDescent="0.35">
      <c r="A23" s="2" t="s">
        <v>47</v>
      </c>
      <c r="B23" s="5">
        <f>GCD(B22,B7)</f>
        <v>1</v>
      </c>
      <c r="C23" s="4" t="s">
        <v>11</v>
      </c>
      <c r="D23" s="1"/>
      <c r="E23" s="1"/>
    </row>
    <row r="24" spans="1:5" x14ac:dyDescent="0.35">
      <c r="A24" s="2" t="s">
        <v>48</v>
      </c>
      <c r="B24" s="3">
        <v>725</v>
      </c>
      <c r="C24" s="4" t="s">
        <v>49</v>
      </c>
      <c r="D24" s="1"/>
      <c r="E24" s="1"/>
    </row>
    <row r="25" spans="1:5" x14ac:dyDescent="0.35">
      <c r="A25" s="2" t="s">
        <v>50</v>
      </c>
      <c r="B25" s="5">
        <f>MOD(B22*B24,B7)</f>
        <v>1</v>
      </c>
      <c r="C25" s="4" t="s">
        <v>11</v>
      </c>
      <c r="D25" s="1"/>
      <c r="E25" s="1"/>
    </row>
    <row r="26" spans="1:5" x14ac:dyDescent="0.35">
      <c r="A26" s="1"/>
      <c r="B26" s="1"/>
      <c r="C26" s="1"/>
      <c r="D26" s="1"/>
      <c r="E26" s="1"/>
    </row>
    <row r="27" spans="1:5" ht="15.5" x14ac:dyDescent="0.35">
      <c r="A27" s="13" t="s">
        <v>51</v>
      </c>
      <c r="B27" s="14"/>
      <c r="C27" s="14"/>
      <c r="D27" s="14"/>
      <c r="E27" s="14"/>
    </row>
    <row r="28" spans="1:5" x14ac:dyDescent="0.35">
      <c r="A28" s="7" t="s">
        <v>52</v>
      </c>
      <c r="B28" s="1"/>
      <c r="C28" s="1"/>
      <c r="D28" s="1"/>
      <c r="E28" s="1"/>
    </row>
    <row r="29" spans="1:5" x14ac:dyDescent="0.35">
      <c r="A29" s="8" t="s">
        <v>21</v>
      </c>
      <c r="B29" s="8" t="s">
        <v>22</v>
      </c>
      <c r="C29" s="8" t="s">
        <v>23</v>
      </c>
      <c r="D29" s="8" t="s">
        <v>24</v>
      </c>
      <c r="E29" s="8" t="s">
        <v>25</v>
      </c>
    </row>
    <row r="30" spans="1:5" x14ac:dyDescent="0.35">
      <c r="A30" s="9" t="s">
        <v>26</v>
      </c>
      <c r="B30" s="9" t="s">
        <v>27</v>
      </c>
      <c r="C30" s="9" t="s">
        <v>27</v>
      </c>
      <c r="D30" s="9" t="s">
        <v>28</v>
      </c>
      <c r="E30" s="5">
        <v>1</v>
      </c>
    </row>
    <row r="31" spans="1:5" x14ac:dyDescent="0.35">
      <c r="A31" s="9">
        <v>3</v>
      </c>
      <c r="B31" s="5">
        <f>2^3</f>
        <v>8</v>
      </c>
      <c r="C31" s="5">
        <f>MOD(INT($B$22/B31),2)</f>
        <v>1</v>
      </c>
      <c r="D31" s="10" t="s">
        <v>29</v>
      </c>
      <c r="E31" s="5">
        <f>IF(C31=1,MOD(MOD(E30^2,$B$4)*$B$5,$B$4),MOD(E30^2,$B$4))</f>
        <v>2</v>
      </c>
    </row>
    <row r="32" spans="1:5" x14ac:dyDescent="0.35">
      <c r="A32" s="9">
        <v>2</v>
      </c>
      <c r="B32" s="5">
        <f>2^2</f>
        <v>4</v>
      </c>
      <c r="C32" s="5">
        <f>MOD(INT($B$22/B32),2)</f>
        <v>1</v>
      </c>
      <c r="D32" s="10" t="s">
        <v>29</v>
      </c>
      <c r="E32" s="5">
        <f>IF(C32=1,MOD(MOD(E31^2,$B$4)*$B$5,$B$4),MOD(E31^2,$B$4))</f>
        <v>8</v>
      </c>
    </row>
    <row r="33" spans="1:5" x14ac:dyDescent="0.35">
      <c r="A33" s="9">
        <v>1</v>
      </c>
      <c r="B33" s="5">
        <f>2^1</f>
        <v>2</v>
      </c>
      <c r="C33" s="5">
        <f>MOD(INT($B$22/B33),2)</f>
        <v>0</v>
      </c>
      <c r="D33" s="10" t="s">
        <v>29</v>
      </c>
      <c r="E33" s="5">
        <f>IF(C33=1,MOD(MOD(E32^2,$B$4)*$B$5,$B$4),MOD(E32^2,$B$4))</f>
        <v>64</v>
      </c>
    </row>
    <row r="34" spans="1:5" x14ac:dyDescent="0.35">
      <c r="A34" s="9">
        <v>0</v>
      </c>
      <c r="B34" s="5">
        <f>2^0</f>
        <v>1</v>
      </c>
      <c r="C34" s="5">
        <f>MOD(INT($B$22/B34),2)</f>
        <v>1</v>
      </c>
      <c r="D34" s="10" t="s">
        <v>29</v>
      </c>
      <c r="E34" s="5">
        <f>IF(C34=1,MOD(MOD(E33^2,$B$4)*$B$5,$B$4),MOD(E33^2,$B$4))</f>
        <v>1121</v>
      </c>
    </row>
    <row r="35" spans="1:5" x14ac:dyDescent="0.35">
      <c r="A35" s="1"/>
      <c r="B35" s="1"/>
      <c r="C35" s="1"/>
      <c r="D35" s="1"/>
      <c r="E35" s="1"/>
    </row>
    <row r="36" spans="1:5" x14ac:dyDescent="0.35">
      <c r="A36" s="2" t="s">
        <v>53</v>
      </c>
      <c r="B36" s="11">
        <f>E34</f>
        <v>1121</v>
      </c>
      <c r="C36" s="1"/>
      <c r="D36" s="1"/>
      <c r="E36" s="1"/>
    </row>
    <row r="37" spans="1:5" x14ac:dyDescent="0.35">
      <c r="A37" s="2" t="s">
        <v>54</v>
      </c>
      <c r="B37" s="11">
        <f>MOD((B21-B6*B36)*B24,B7)</f>
        <v>777</v>
      </c>
      <c r="C37" s="1"/>
      <c r="D37" s="1"/>
      <c r="E37" s="1"/>
    </row>
    <row r="38" spans="1:5" x14ac:dyDescent="0.35">
      <c r="A38" s="2" t="s">
        <v>55</v>
      </c>
      <c r="B38" s="6" t="str">
        <f>"("&amp;B36&amp;", "&amp;B37&amp;")"</f>
        <v>(1121, 777)</v>
      </c>
      <c r="C38" s="1"/>
      <c r="D38" s="1"/>
      <c r="E38" s="1"/>
    </row>
    <row r="39" spans="1:5" x14ac:dyDescent="0.35">
      <c r="A39" s="1"/>
      <c r="B39" s="1"/>
      <c r="C39" s="1"/>
      <c r="D39" s="1"/>
      <c r="E39" s="1"/>
    </row>
    <row r="40" spans="1:5" ht="15.5" x14ac:dyDescent="0.35">
      <c r="A40" s="13" t="s">
        <v>56</v>
      </c>
      <c r="B40" s="14"/>
      <c r="C40" s="14"/>
      <c r="D40" s="14"/>
      <c r="E40" s="14"/>
    </row>
    <row r="41" spans="1:5" x14ac:dyDescent="0.35">
      <c r="A41" s="7" t="s">
        <v>57</v>
      </c>
      <c r="B41" s="1"/>
      <c r="C41" s="1"/>
      <c r="D41" s="1"/>
      <c r="E41" s="1"/>
    </row>
    <row r="42" spans="1:5" x14ac:dyDescent="0.35">
      <c r="A42" s="8" t="s">
        <v>21</v>
      </c>
      <c r="B42" s="8" t="s">
        <v>22</v>
      </c>
      <c r="C42" s="8" t="s">
        <v>23</v>
      </c>
      <c r="D42" s="8" t="s">
        <v>24</v>
      </c>
      <c r="E42" s="8" t="s">
        <v>25</v>
      </c>
    </row>
    <row r="43" spans="1:5" x14ac:dyDescent="0.35">
      <c r="A43" s="9" t="s">
        <v>26</v>
      </c>
      <c r="B43" s="9" t="s">
        <v>27</v>
      </c>
      <c r="C43" s="9" t="s">
        <v>27</v>
      </c>
      <c r="D43" s="9" t="s">
        <v>28</v>
      </c>
      <c r="E43" s="5">
        <v>1</v>
      </c>
    </row>
    <row r="44" spans="1:5" x14ac:dyDescent="0.35">
      <c r="A44" s="9">
        <v>9</v>
      </c>
      <c r="B44" s="5">
        <f>2^9</f>
        <v>512</v>
      </c>
      <c r="C44" s="5">
        <f t="shared" ref="C44:C53" si="0">MOD(INT($B$21/B44),2)</f>
        <v>1</v>
      </c>
      <c r="D44" s="10" t="s">
        <v>29</v>
      </c>
      <c r="E44" s="5">
        <f t="shared" ref="E44:E53" si="1">IF(C44=1,MOD(MOD(E43^2,$B$4)*$B$5,$B$4),MOD(E43^2,$B$4))</f>
        <v>2</v>
      </c>
    </row>
    <row r="45" spans="1:5" x14ac:dyDescent="0.35">
      <c r="A45" s="9">
        <v>8</v>
      </c>
      <c r="B45" s="5">
        <f>2^8</f>
        <v>256</v>
      </c>
      <c r="C45" s="5">
        <f t="shared" si="0"/>
        <v>1</v>
      </c>
      <c r="D45" s="10" t="s">
        <v>29</v>
      </c>
      <c r="E45" s="5">
        <f t="shared" si="1"/>
        <v>8</v>
      </c>
    </row>
    <row r="46" spans="1:5" x14ac:dyDescent="0.35">
      <c r="A46" s="9">
        <v>7</v>
      </c>
      <c r="B46" s="5">
        <f>2^7</f>
        <v>128</v>
      </c>
      <c r="C46" s="5">
        <f t="shared" si="0"/>
        <v>1</v>
      </c>
      <c r="D46" s="10" t="s">
        <v>29</v>
      </c>
      <c r="E46" s="5">
        <f t="shared" si="1"/>
        <v>128</v>
      </c>
    </row>
    <row r="47" spans="1:5" x14ac:dyDescent="0.35">
      <c r="A47" s="9">
        <v>6</v>
      </c>
      <c r="B47" s="5">
        <f>2^6</f>
        <v>64</v>
      </c>
      <c r="C47" s="5">
        <f t="shared" si="0"/>
        <v>1</v>
      </c>
      <c r="D47" s="10" t="s">
        <v>29</v>
      </c>
      <c r="E47" s="5">
        <f t="shared" si="1"/>
        <v>2127</v>
      </c>
    </row>
    <row r="48" spans="1:5" x14ac:dyDescent="0.35">
      <c r="A48" s="9">
        <v>5</v>
      </c>
      <c r="B48" s="5">
        <f>2^5</f>
        <v>32</v>
      </c>
      <c r="C48" s="5">
        <f t="shared" si="0"/>
        <v>1</v>
      </c>
      <c r="D48" s="10" t="s">
        <v>29</v>
      </c>
      <c r="E48" s="5">
        <f t="shared" si="1"/>
        <v>2092</v>
      </c>
    </row>
    <row r="49" spans="1:5" x14ac:dyDescent="0.35">
      <c r="A49" s="9">
        <v>4</v>
      </c>
      <c r="B49" s="5">
        <f>2^4</f>
        <v>16</v>
      </c>
      <c r="C49" s="5">
        <f t="shared" si="0"/>
        <v>0</v>
      </c>
      <c r="D49" s="10" t="s">
        <v>29</v>
      </c>
      <c r="E49" s="5">
        <f t="shared" si="1"/>
        <v>1872</v>
      </c>
    </row>
    <row r="50" spans="1:5" x14ac:dyDescent="0.35">
      <c r="A50" s="9">
        <v>3</v>
      </c>
      <c r="B50" s="5">
        <f>2^3</f>
        <v>8</v>
      </c>
      <c r="C50" s="5">
        <f t="shared" si="0"/>
        <v>1</v>
      </c>
      <c r="D50" s="10" t="s">
        <v>29</v>
      </c>
      <c r="E50" s="5">
        <f t="shared" si="1"/>
        <v>1407</v>
      </c>
    </row>
    <row r="51" spans="1:5" x14ac:dyDescent="0.35">
      <c r="A51" s="9">
        <v>2</v>
      </c>
      <c r="B51" s="5">
        <f>2^2</f>
        <v>4</v>
      </c>
      <c r="C51" s="5">
        <f t="shared" si="0"/>
        <v>0</v>
      </c>
      <c r="D51" s="10" t="s">
        <v>29</v>
      </c>
      <c r="E51" s="5">
        <f t="shared" si="1"/>
        <v>2126</v>
      </c>
    </row>
    <row r="52" spans="1:5" x14ac:dyDescent="0.35">
      <c r="A52" s="9">
        <v>1</v>
      </c>
      <c r="B52" s="5">
        <f>2^1</f>
        <v>2</v>
      </c>
      <c r="C52" s="5">
        <f t="shared" si="0"/>
        <v>0</v>
      </c>
      <c r="D52" s="10" t="s">
        <v>29</v>
      </c>
      <c r="E52" s="5">
        <f t="shared" si="1"/>
        <v>1507</v>
      </c>
    </row>
    <row r="53" spans="1:5" x14ac:dyDescent="0.35">
      <c r="A53" s="9">
        <v>0</v>
      </c>
      <c r="B53" s="5">
        <f>2^0</f>
        <v>1</v>
      </c>
      <c r="C53" s="5">
        <f t="shared" si="0"/>
        <v>0</v>
      </c>
      <c r="D53" s="10" t="s">
        <v>29</v>
      </c>
      <c r="E53" s="5">
        <f t="shared" si="1"/>
        <v>1258</v>
      </c>
    </row>
    <row r="54" spans="1:5" x14ac:dyDescent="0.35">
      <c r="A54" s="1"/>
      <c r="B54" s="1"/>
      <c r="C54" s="1"/>
      <c r="D54" s="1"/>
      <c r="E54" s="1"/>
    </row>
    <row r="55" spans="1:5" x14ac:dyDescent="0.35">
      <c r="A55" s="2" t="s">
        <v>58</v>
      </c>
      <c r="B55" s="11">
        <f>E53</f>
        <v>1258</v>
      </c>
      <c r="C55" s="1"/>
      <c r="D55" s="1"/>
      <c r="E55" s="1"/>
    </row>
    <row r="56" spans="1:5" x14ac:dyDescent="0.35">
      <c r="A56" s="1"/>
      <c r="B56" s="1"/>
      <c r="C56" s="1"/>
      <c r="D56" s="1"/>
      <c r="E56" s="1"/>
    </row>
    <row r="57" spans="1:5" x14ac:dyDescent="0.35">
      <c r="A57" s="7" t="s">
        <v>59</v>
      </c>
      <c r="B57" s="1"/>
      <c r="C57" s="1"/>
      <c r="D57" s="1"/>
      <c r="E57" s="1"/>
    </row>
    <row r="58" spans="1:5" x14ac:dyDescent="0.35">
      <c r="A58" s="8" t="s">
        <v>21</v>
      </c>
      <c r="B58" s="8" t="s">
        <v>22</v>
      </c>
      <c r="C58" s="8" t="s">
        <v>23</v>
      </c>
      <c r="D58" s="8" t="s">
        <v>24</v>
      </c>
      <c r="E58" s="8" t="s">
        <v>25</v>
      </c>
    </row>
    <row r="59" spans="1:5" x14ac:dyDescent="0.35">
      <c r="A59" s="9" t="s">
        <v>26</v>
      </c>
      <c r="B59" s="9" t="s">
        <v>27</v>
      </c>
      <c r="C59" s="9" t="s">
        <v>27</v>
      </c>
      <c r="D59" s="9" t="s">
        <v>28</v>
      </c>
      <c r="E59" s="5">
        <v>1</v>
      </c>
    </row>
    <row r="60" spans="1:5" x14ac:dyDescent="0.35">
      <c r="A60" s="9">
        <v>10</v>
      </c>
      <c r="B60" s="5">
        <f>2^10</f>
        <v>1024</v>
      </c>
      <c r="C60" s="5">
        <f t="shared" ref="C60:C70" si="2">MOD(INT($B$36/B60),2)</f>
        <v>1</v>
      </c>
      <c r="D60" s="10" t="s">
        <v>29</v>
      </c>
      <c r="E60" s="5">
        <f t="shared" ref="E60:E70" si="3">IF(C60=1,MOD(MOD(E59^2,$B$4)*$B$18,$B$4),MOD(E59^2,$B$4))</f>
        <v>2127</v>
      </c>
    </row>
    <row r="61" spans="1:5" x14ac:dyDescent="0.35">
      <c r="A61" s="9">
        <v>9</v>
      </c>
      <c r="B61" s="5">
        <f>2^9</f>
        <v>512</v>
      </c>
      <c r="C61" s="5">
        <f t="shared" si="2"/>
        <v>0</v>
      </c>
      <c r="D61" s="10" t="s">
        <v>29</v>
      </c>
      <c r="E61" s="5">
        <f t="shared" si="3"/>
        <v>1046</v>
      </c>
    </row>
    <row r="62" spans="1:5" x14ac:dyDescent="0.35">
      <c r="A62" s="9">
        <v>8</v>
      </c>
      <c r="B62" s="5">
        <f>2^8</f>
        <v>256</v>
      </c>
      <c r="C62" s="5">
        <f t="shared" si="2"/>
        <v>0</v>
      </c>
      <c r="D62" s="10" t="s">
        <v>29</v>
      </c>
      <c r="E62" s="5">
        <f t="shared" si="3"/>
        <v>468</v>
      </c>
    </row>
    <row r="63" spans="1:5" x14ac:dyDescent="0.35">
      <c r="A63" s="9">
        <v>7</v>
      </c>
      <c r="B63" s="5">
        <f>2^7</f>
        <v>128</v>
      </c>
      <c r="C63" s="5">
        <f t="shared" si="2"/>
        <v>0</v>
      </c>
      <c r="D63" s="10" t="s">
        <v>29</v>
      </c>
      <c r="E63" s="5">
        <f t="shared" si="3"/>
        <v>2180</v>
      </c>
    </row>
    <row r="64" spans="1:5" x14ac:dyDescent="0.35">
      <c r="A64" s="9">
        <v>6</v>
      </c>
      <c r="B64" s="5">
        <f>2^6</f>
        <v>64</v>
      </c>
      <c r="C64" s="5">
        <f t="shared" si="2"/>
        <v>1</v>
      </c>
      <c r="D64" s="10" t="s">
        <v>29</v>
      </c>
      <c r="E64" s="5">
        <f t="shared" si="3"/>
        <v>2036</v>
      </c>
    </row>
    <row r="65" spans="1:5" x14ac:dyDescent="0.35">
      <c r="A65" s="9">
        <v>5</v>
      </c>
      <c r="B65" s="5">
        <f>2^5</f>
        <v>32</v>
      </c>
      <c r="C65" s="5">
        <f t="shared" si="2"/>
        <v>1</v>
      </c>
      <c r="D65" s="10" t="s">
        <v>29</v>
      </c>
      <c r="E65" s="5">
        <f t="shared" si="3"/>
        <v>205</v>
      </c>
    </row>
    <row r="66" spans="1:5" x14ac:dyDescent="0.35">
      <c r="A66" s="9">
        <v>4</v>
      </c>
      <c r="B66" s="5">
        <f>2^4</f>
        <v>16</v>
      </c>
      <c r="C66" s="5">
        <f t="shared" si="2"/>
        <v>0</v>
      </c>
      <c r="D66" s="10" t="s">
        <v>29</v>
      </c>
      <c r="E66" s="5">
        <f t="shared" si="3"/>
        <v>1956</v>
      </c>
    </row>
    <row r="67" spans="1:5" x14ac:dyDescent="0.35">
      <c r="A67" s="9">
        <v>3</v>
      </c>
      <c r="B67" s="5">
        <f>2^3</f>
        <v>8</v>
      </c>
      <c r="C67" s="5">
        <f t="shared" si="2"/>
        <v>0</v>
      </c>
      <c r="D67" s="10" t="s">
        <v>29</v>
      </c>
      <c r="E67" s="5">
        <f t="shared" si="3"/>
        <v>525</v>
      </c>
    </row>
    <row r="68" spans="1:5" x14ac:dyDescent="0.35">
      <c r="A68" s="9">
        <v>2</v>
      </c>
      <c r="B68" s="5">
        <f>2^2</f>
        <v>4</v>
      </c>
      <c r="C68" s="5">
        <f t="shared" si="2"/>
        <v>0</v>
      </c>
      <c r="D68" s="10" t="s">
        <v>29</v>
      </c>
      <c r="E68" s="5">
        <f t="shared" si="3"/>
        <v>2213</v>
      </c>
    </row>
    <row r="69" spans="1:5" x14ac:dyDescent="0.35">
      <c r="A69" s="9">
        <v>1</v>
      </c>
      <c r="B69" s="5">
        <f>2^1</f>
        <v>2</v>
      </c>
      <c r="C69" s="5">
        <f t="shared" si="2"/>
        <v>0</v>
      </c>
      <c r="D69" s="10" t="s">
        <v>29</v>
      </c>
      <c r="E69" s="5">
        <f t="shared" si="3"/>
        <v>1880</v>
      </c>
    </row>
    <row r="70" spans="1:5" x14ac:dyDescent="0.35">
      <c r="A70" s="9">
        <v>0</v>
      </c>
      <c r="B70" s="5">
        <f>2^0</f>
        <v>1</v>
      </c>
      <c r="C70" s="5">
        <f t="shared" si="2"/>
        <v>1</v>
      </c>
      <c r="D70" s="10" t="s">
        <v>29</v>
      </c>
      <c r="E70" s="5">
        <f t="shared" si="3"/>
        <v>801</v>
      </c>
    </row>
    <row r="71" spans="1:5" x14ac:dyDescent="0.35">
      <c r="A71" s="1"/>
      <c r="B71" s="1"/>
      <c r="C71" s="1"/>
      <c r="D71" s="1"/>
      <c r="E71" s="1"/>
    </row>
    <row r="72" spans="1:5" x14ac:dyDescent="0.35">
      <c r="A72" s="2" t="s">
        <v>60</v>
      </c>
      <c r="B72" s="5">
        <f>E70</f>
        <v>801</v>
      </c>
      <c r="C72" s="1"/>
      <c r="D72" s="1"/>
      <c r="E72" s="1"/>
    </row>
    <row r="73" spans="1:5" x14ac:dyDescent="0.35">
      <c r="A73" s="1"/>
      <c r="B73" s="1"/>
      <c r="C73" s="1"/>
      <c r="D73" s="1"/>
      <c r="E73" s="1"/>
    </row>
    <row r="74" spans="1:5" x14ac:dyDescent="0.35">
      <c r="A74" s="7" t="s">
        <v>61</v>
      </c>
      <c r="B74" s="1"/>
      <c r="C74" s="1"/>
      <c r="D74" s="1"/>
      <c r="E74" s="1"/>
    </row>
    <row r="75" spans="1:5" x14ac:dyDescent="0.35">
      <c r="A75" s="8" t="s">
        <v>21</v>
      </c>
      <c r="B75" s="8" t="s">
        <v>22</v>
      </c>
      <c r="C75" s="8" t="s">
        <v>23</v>
      </c>
      <c r="D75" s="8" t="s">
        <v>24</v>
      </c>
      <c r="E75" s="8" t="s">
        <v>25</v>
      </c>
    </row>
    <row r="76" spans="1:5" x14ac:dyDescent="0.35">
      <c r="A76" s="9" t="s">
        <v>26</v>
      </c>
      <c r="B76" s="9" t="s">
        <v>27</v>
      </c>
      <c r="C76" s="9" t="s">
        <v>27</v>
      </c>
      <c r="D76" s="9" t="s">
        <v>28</v>
      </c>
      <c r="E76" s="5">
        <v>1</v>
      </c>
    </row>
    <row r="77" spans="1:5" x14ac:dyDescent="0.35">
      <c r="A77" s="9">
        <v>9</v>
      </c>
      <c r="B77" s="5">
        <f>2^9</f>
        <v>512</v>
      </c>
      <c r="C77" s="5">
        <f t="shared" ref="C77:C86" si="4">MOD(INT($B$37/B77),2)</f>
        <v>1</v>
      </c>
      <c r="D77" s="10" t="s">
        <v>29</v>
      </c>
      <c r="E77" s="5">
        <f t="shared" ref="E77:E86" si="5">IF(C77=1,MOD(MOD(E76^2,$B$4)*$B$36,$B$4),MOD(E76^2,$B$4))</f>
        <v>1121</v>
      </c>
    </row>
    <row r="78" spans="1:5" x14ac:dyDescent="0.35">
      <c r="A78" s="9">
        <v>8</v>
      </c>
      <c r="B78" s="5">
        <f>2^8</f>
        <v>256</v>
      </c>
      <c r="C78" s="5">
        <f t="shared" si="4"/>
        <v>1</v>
      </c>
      <c r="D78" s="10" t="s">
        <v>29</v>
      </c>
      <c r="E78" s="5">
        <f t="shared" si="5"/>
        <v>513</v>
      </c>
    </row>
    <row r="79" spans="1:5" x14ac:dyDescent="0.35">
      <c r="A79" s="9">
        <v>7</v>
      </c>
      <c r="B79" s="5">
        <f>2^7</f>
        <v>128</v>
      </c>
      <c r="C79" s="5">
        <f t="shared" si="4"/>
        <v>0</v>
      </c>
      <c r="D79" s="10" t="s">
        <v>29</v>
      </c>
      <c r="E79" s="5">
        <f t="shared" si="5"/>
        <v>1542</v>
      </c>
    </row>
    <row r="80" spans="1:5" x14ac:dyDescent="0.35">
      <c r="A80" s="9">
        <v>6</v>
      </c>
      <c r="B80" s="5">
        <f>2^6</f>
        <v>64</v>
      </c>
      <c r="C80" s="5">
        <f t="shared" si="4"/>
        <v>0</v>
      </c>
      <c r="D80" s="10" t="s">
        <v>29</v>
      </c>
      <c r="E80" s="5">
        <f t="shared" si="5"/>
        <v>1908</v>
      </c>
    </row>
    <row r="81" spans="1:5" x14ac:dyDescent="0.35">
      <c r="A81" s="9">
        <v>5</v>
      </c>
      <c r="B81" s="5">
        <f>2^5</f>
        <v>32</v>
      </c>
      <c r="C81" s="5">
        <f t="shared" si="4"/>
        <v>0</v>
      </c>
      <c r="D81" s="10" t="s">
        <v>29</v>
      </c>
      <c r="E81" s="5">
        <f t="shared" si="5"/>
        <v>1256</v>
      </c>
    </row>
    <row r="82" spans="1:5" x14ac:dyDescent="0.35">
      <c r="A82" s="9">
        <v>4</v>
      </c>
      <c r="B82" s="5">
        <f>2^4</f>
        <v>16</v>
      </c>
      <c r="C82" s="5">
        <f t="shared" si="4"/>
        <v>0</v>
      </c>
      <c r="D82" s="10" t="s">
        <v>29</v>
      </c>
      <c r="E82" s="5">
        <f t="shared" si="5"/>
        <v>703</v>
      </c>
    </row>
    <row r="83" spans="1:5" x14ac:dyDescent="0.35">
      <c r="A83" s="9">
        <v>3</v>
      </c>
      <c r="B83" s="5">
        <f>2^3</f>
        <v>8</v>
      </c>
      <c r="C83" s="5">
        <f t="shared" si="4"/>
        <v>1</v>
      </c>
      <c r="D83" s="10" t="s">
        <v>29</v>
      </c>
      <c r="E83" s="5">
        <f t="shared" si="5"/>
        <v>153</v>
      </c>
    </row>
    <row r="84" spans="1:5" x14ac:dyDescent="0.35">
      <c r="A84" s="9">
        <v>2</v>
      </c>
      <c r="B84" s="5">
        <f>2^2</f>
        <v>4</v>
      </c>
      <c r="C84" s="5">
        <f t="shared" si="4"/>
        <v>0</v>
      </c>
      <c r="D84" s="10" t="s">
        <v>29</v>
      </c>
      <c r="E84" s="5">
        <f t="shared" si="5"/>
        <v>2196</v>
      </c>
    </row>
    <row r="85" spans="1:5" x14ac:dyDescent="0.35">
      <c r="A85" s="9">
        <v>1</v>
      </c>
      <c r="B85" s="5">
        <f>2^1</f>
        <v>2</v>
      </c>
      <c r="C85" s="5">
        <f t="shared" si="4"/>
        <v>0</v>
      </c>
      <c r="D85" s="10" t="s">
        <v>29</v>
      </c>
      <c r="E85" s="5">
        <f t="shared" si="5"/>
        <v>2351</v>
      </c>
    </row>
    <row r="86" spans="1:5" x14ac:dyDescent="0.35">
      <c r="A86" s="9">
        <v>0</v>
      </c>
      <c r="B86" s="5">
        <f>2^0</f>
        <v>1</v>
      </c>
      <c r="C86" s="5">
        <f t="shared" si="4"/>
        <v>1</v>
      </c>
      <c r="D86" s="10" t="s">
        <v>29</v>
      </c>
      <c r="E86" s="5">
        <f t="shared" si="5"/>
        <v>287</v>
      </c>
    </row>
    <row r="87" spans="1:5" x14ac:dyDescent="0.35">
      <c r="A87" s="1"/>
      <c r="B87" s="1"/>
      <c r="C87" s="1"/>
      <c r="D87" s="1"/>
      <c r="E87" s="1"/>
    </row>
    <row r="88" spans="1:5" x14ac:dyDescent="0.35">
      <c r="A88" s="2" t="s">
        <v>62</v>
      </c>
      <c r="B88" s="5">
        <f>E86</f>
        <v>287</v>
      </c>
      <c r="C88" s="1"/>
      <c r="D88" s="1"/>
      <c r="E88" s="1"/>
    </row>
    <row r="89" spans="1:5" x14ac:dyDescent="0.35">
      <c r="A89" s="2" t="s">
        <v>63</v>
      </c>
      <c r="B89" s="11">
        <f>MOD(B72*B88,B4)</f>
        <v>1258</v>
      </c>
      <c r="C89" s="1"/>
      <c r="D89" s="1"/>
      <c r="E89" s="1"/>
    </row>
    <row r="90" spans="1:5" x14ac:dyDescent="0.35">
      <c r="A90" s="2" t="s">
        <v>64</v>
      </c>
      <c r="B90" s="12" t="str">
        <f>IF(B55=B89,"VALID","TIDAK VALID")</f>
        <v>VALID</v>
      </c>
      <c r="C90" s="1"/>
      <c r="D90" s="1"/>
      <c r="E90" s="1"/>
    </row>
  </sheetData>
  <mergeCells count="6">
    <mergeCell ref="A20:E20"/>
    <mergeCell ref="A1:E1"/>
    <mergeCell ref="A40:E40"/>
    <mergeCell ref="A9:E9"/>
    <mergeCell ref="A27:E27"/>
    <mergeCell ref="A3:E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73"/>
  <sheetViews>
    <sheetView topLeftCell="A19" zoomScale="85" zoomScaleNormal="85" workbookViewId="0">
      <selection activeCell="A51" sqref="A51:E51"/>
    </sheetView>
  </sheetViews>
  <sheetFormatPr defaultRowHeight="14.5" x14ac:dyDescent="0.35"/>
  <cols>
    <col min="1" max="1" width="32" customWidth="1"/>
    <col min="2" max="2" width="16" customWidth="1"/>
    <col min="3" max="3" width="55" customWidth="1"/>
    <col min="4" max="4" width="49.453125" bestFit="1" customWidth="1"/>
    <col min="5" max="5" width="14" customWidth="1"/>
  </cols>
  <sheetData>
    <row r="1" spans="1:5" ht="22" customHeight="1" x14ac:dyDescent="0.35">
      <c r="A1" s="15" t="s">
        <v>65</v>
      </c>
      <c r="B1" s="14"/>
      <c r="C1" s="14"/>
      <c r="D1" s="14"/>
      <c r="E1" s="14"/>
    </row>
    <row r="2" spans="1:5" x14ac:dyDescent="0.35">
      <c r="A2" s="1"/>
      <c r="B2" s="1"/>
      <c r="C2" s="1"/>
      <c r="D2" s="1"/>
      <c r="E2" s="1"/>
    </row>
    <row r="3" spans="1:5" ht="15.5" x14ac:dyDescent="0.35">
      <c r="A3" s="13" t="s">
        <v>1</v>
      </c>
      <c r="B3" s="14"/>
      <c r="C3" s="14"/>
      <c r="D3" s="14"/>
      <c r="E3" s="14"/>
    </row>
    <row r="4" spans="1:5" x14ac:dyDescent="0.35">
      <c r="A4" s="2" t="s">
        <v>2</v>
      </c>
      <c r="B4" s="3">
        <v>2357</v>
      </c>
      <c r="C4" s="4" t="s">
        <v>36</v>
      </c>
      <c r="D4" s="1"/>
      <c r="E4" s="1"/>
    </row>
    <row r="5" spans="1:5" x14ac:dyDescent="0.35">
      <c r="A5" s="2" t="s">
        <v>66</v>
      </c>
      <c r="B5" s="3">
        <v>31</v>
      </c>
      <c r="C5" s="4" t="s">
        <v>67</v>
      </c>
      <c r="D5" s="1"/>
      <c r="E5" s="1"/>
    </row>
    <row r="6" spans="1:5" x14ac:dyDescent="0.35">
      <c r="A6" s="2" t="s">
        <v>68</v>
      </c>
      <c r="B6" s="3">
        <v>3</v>
      </c>
      <c r="C6" s="4" t="s">
        <v>3</v>
      </c>
      <c r="D6" s="1"/>
      <c r="E6" s="1"/>
    </row>
    <row r="7" spans="1:5" x14ac:dyDescent="0.35">
      <c r="A7" s="2" t="s">
        <v>69</v>
      </c>
      <c r="B7" s="3">
        <v>76</v>
      </c>
      <c r="C7" s="4">
        <f>2356/31</f>
        <v>76</v>
      </c>
      <c r="D7" s="1"/>
      <c r="E7" s="1"/>
    </row>
    <row r="8" spans="1:5" x14ac:dyDescent="0.35">
      <c r="A8" s="1"/>
      <c r="B8" s="1"/>
      <c r="C8" s="1"/>
      <c r="D8" s="1"/>
      <c r="E8" s="1"/>
    </row>
    <row r="9" spans="1:5" ht="15.5" x14ac:dyDescent="0.35">
      <c r="A9" s="13" t="s">
        <v>70</v>
      </c>
      <c r="B9" s="14"/>
      <c r="C9" s="14"/>
      <c r="D9" s="14"/>
      <c r="E9" s="14"/>
    </row>
    <row r="10" spans="1:5" x14ac:dyDescent="0.35">
      <c r="A10" s="7" t="s">
        <v>71</v>
      </c>
      <c r="B10" s="1"/>
      <c r="C10" s="1"/>
      <c r="D10" s="1"/>
      <c r="E10" s="1"/>
    </row>
    <row r="11" spans="1:5" x14ac:dyDescent="0.35">
      <c r="A11" s="8" t="s">
        <v>21</v>
      </c>
      <c r="B11" s="8" t="s">
        <v>22</v>
      </c>
      <c r="C11" s="8" t="s">
        <v>23</v>
      </c>
      <c r="D11" s="8" t="s">
        <v>24</v>
      </c>
      <c r="E11" s="8" t="s">
        <v>25</v>
      </c>
    </row>
    <row r="12" spans="1:5" x14ac:dyDescent="0.35">
      <c r="A12" s="9" t="s">
        <v>26</v>
      </c>
      <c r="B12" s="9" t="s">
        <v>27</v>
      </c>
      <c r="C12" s="9" t="s">
        <v>27</v>
      </c>
      <c r="D12" s="9" t="s">
        <v>28</v>
      </c>
      <c r="E12" s="5">
        <v>1</v>
      </c>
    </row>
    <row r="13" spans="1:5" x14ac:dyDescent="0.35">
      <c r="A13" s="9">
        <v>6</v>
      </c>
      <c r="B13" s="5">
        <f>2^6</f>
        <v>64</v>
      </c>
      <c r="C13" s="5">
        <f t="shared" ref="C13:C19" si="0">MOD(INT($B$7/B13),2)</f>
        <v>1</v>
      </c>
      <c r="D13" s="10" t="s">
        <v>29</v>
      </c>
      <c r="E13" s="5">
        <f t="shared" ref="E13:E19" si="1">IF(C13=1,MOD(MOD(E12^2,$B$4)*$B$6,$B$4),MOD(E12^2,$B$4))</f>
        <v>3</v>
      </c>
    </row>
    <row r="14" spans="1:5" x14ac:dyDescent="0.35">
      <c r="A14" s="9">
        <v>5</v>
      </c>
      <c r="B14" s="5">
        <f>2^5</f>
        <v>32</v>
      </c>
      <c r="C14" s="5">
        <f t="shared" si="0"/>
        <v>0</v>
      </c>
      <c r="D14" s="10" t="s">
        <v>29</v>
      </c>
      <c r="E14" s="5">
        <f t="shared" si="1"/>
        <v>9</v>
      </c>
    </row>
    <row r="15" spans="1:5" x14ac:dyDescent="0.35">
      <c r="A15" s="9">
        <v>4</v>
      </c>
      <c r="B15" s="5">
        <f>2^4</f>
        <v>16</v>
      </c>
      <c r="C15" s="5">
        <f t="shared" si="0"/>
        <v>0</v>
      </c>
      <c r="D15" s="10" t="s">
        <v>29</v>
      </c>
      <c r="E15" s="5">
        <f t="shared" si="1"/>
        <v>81</v>
      </c>
    </row>
    <row r="16" spans="1:5" x14ac:dyDescent="0.35">
      <c r="A16" s="9">
        <v>3</v>
      </c>
      <c r="B16" s="5">
        <f>2^3</f>
        <v>8</v>
      </c>
      <c r="C16" s="5">
        <f t="shared" si="0"/>
        <v>1</v>
      </c>
      <c r="D16" s="10" t="s">
        <v>29</v>
      </c>
      <c r="E16" s="5">
        <f t="shared" si="1"/>
        <v>827</v>
      </c>
    </row>
    <row r="17" spans="1:5" x14ac:dyDescent="0.35">
      <c r="A17" s="9">
        <v>2</v>
      </c>
      <c r="B17" s="5">
        <f>2^2</f>
        <v>4</v>
      </c>
      <c r="C17" s="5">
        <f t="shared" si="0"/>
        <v>1</v>
      </c>
      <c r="D17" s="10" t="s">
        <v>29</v>
      </c>
      <c r="E17" s="5">
        <f t="shared" si="1"/>
        <v>1197</v>
      </c>
    </row>
    <row r="18" spans="1:5" x14ac:dyDescent="0.35">
      <c r="A18" s="9">
        <v>1</v>
      </c>
      <c r="B18" s="5">
        <f>2^1</f>
        <v>2</v>
      </c>
      <c r="C18" s="5">
        <f t="shared" si="0"/>
        <v>0</v>
      </c>
      <c r="D18" s="10" t="s">
        <v>29</v>
      </c>
      <c r="E18" s="5">
        <f t="shared" si="1"/>
        <v>2110</v>
      </c>
    </row>
    <row r="19" spans="1:5" x14ac:dyDescent="0.35">
      <c r="A19" s="9">
        <v>0</v>
      </c>
      <c r="B19" s="5">
        <f>2^0</f>
        <v>1</v>
      </c>
      <c r="C19" s="5">
        <f t="shared" si="0"/>
        <v>0</v>
      </c>
      <c r="D19" s="10" t="s">
        <v>29</v>
      </c>
      <c r="E19" s="5">
        <f t="shared" si="1"/>
        <v>2084</v>
      </c>
    </row>
    <row r="20" spans="1:5" x14ac:dyDescent="0.35">
      <c r="A20" s="1"/>
      <c r="B20" s="1"/>
      <c r="C20" s="1"/>
      <c r="D20" s="1"/>
      <c r="E20" s="1"/>
    </row>
    <row r="21" spans="1:5" x14ac:dyDescent="0.35">
      <c r="A21" s="2" t="s">
        <v>72</v>
      </c>
      <c r="B21" s="11">
        <f>E19</f>
        <v>2084</v>
      </c>
      <c r="C21" s="1"/>
      <c r="D21" s="1"/>
      <c r="E21" s="1"/>
    </row>
    <row r="22" spans="1:5" x14ac:dyDescent="0.35">
      <c r="A22" s="2" t="s">
        <v>38</v>
      </c>
      <c r="B22" s="3">
        <v>7</v>
      </c>
      <c r="C22" s="4" t="s">
        <v>73</v>
      </c>
      <c r="D22" s="1"/>
      <c r="E22" s="1"/>
    </row>
    <row r="23" spans="1:5" x14ac:dyDescent="0.35">
      <c r="A23" s="1"/>
      <c r="B23" s="1"/>
      <c r="C23" s="1"/>
      <c r="D23" s="1"/>
      <c r="E23" s="1"/>
    </row>
    <row r="24" spans="1:5" ht="15.5" x14ac:dyDescent="0.35">
      <c r="A24" s="13" t="s">
        <v>74</v>
      </c>
      <c r="B24" s="14"/>
      <c r="C24" s="14"/>
      <c r="D24" s="14"/>
      <c r="E24" s="14"/>
    </row>
    <row r="25" spans="1:5" x14ac:dyDescent="0.35">
      <c r="A25" s="7" t="s">
        <v>42</v>
      </c>
      <c r="B25" s="1"/>
      <c r="C25" s="1"/>
      <c r="D25" s="1"/>
      <c r="E25" s="1"/>
    </row>
    <row r="26" spans="1:5" x14ac:dyDescent="0.35">
      <c r="A26" s="8" t="s">
        <v>21</v>
      </c>
      <c r="B26" s="8" t="s">
        <v>22</v>
      </c>
      <c r="C26" s="8" t="s">
        <v>23</v>
      </c>
      <c r="D26" s="8" t="s">
        <v>24</v>
      </c>
      <c r="E26" s="8" t="s">
        <v>25</v>
      </c>
    </row>
    <row r="27" spans="1:5" x14ac:dyDescent="0.35">
      <c r="A27" s="9" t="s">
        <v>26</v>
      </c>
      <c r="B27" s="9" t="s">
        <v>27</v>
      </c>
      <c r="C27" s="9" t="s">
        <v>27</v>
      </c>
      <c r="D27" s="9" t="s">
        <v>28</v>
      </c>
      <c r="E27" s="5">
        <v>1</v>
      </c>
    </row>
    <row r="28" spans="1:5" x14ac:dyDescent="0.35">
      <c r="A28" s="9">
        <v>2</v>
      </c>
      <c r="B28" s="5">
        <f>2^2</f>
        <v>4</v>
      </c>
      <c r="C28" s="5">
        <f>MOD(INT($B$22/B28),2)</f>
        <v>1</v>
      </c>
      <c r="D28" s="10" t="s">
        <v>29</v>
      </c>
      <c r="E28" s="5">
        <f>IF(C28=1,MOD(MOD(E27^2,$B$4)*$B$21,$B$4),MOD(E27^2,$B$4))</f>
        <v>2084</v>
      </c>
    </row>
    <row r="29" spans="1:5" x14ac:dyDescent="0.35">
      <c r="A29" s="9">
        <v>1</v>
      </c>
      <c r="B29" s="5">
        <f>2^1</f>
        <v>2</v>
      </c>
      <c r="C29" s="5">
        <f>MOD(INT($B$22/B29),2)</f>
        <v>1</v>
      </c>
      <c r="D29" s="10" t="s">
        <v>29</v>
      </c>
      <c r="E29" s="5">
        <f>IF(C29=1,MOD(MOD(E28^2,$B$4)*$B$21,$B$4),MOD(E28^2,$B$4))</f>
        <v>1564</v>
      </c>
    </row>
    <row r="30" spans="1:5" x14ac:dyDescent="0.35">
      <c r="A30" s="9">
        <v>0</v>
      </c>
      <c r="B30" s="5">
        <f>2^0</f>
        <v>1</v>
      </c>
      <c r="C30" s="5">
        <f>MOD(INT($B$22/B30),2)</f>
        <v>1</v>
      </c>
      <c r="D30" s="10" t="s">
        <v>29</v>
      </c>
      <c r="E30" s="5">
        <f>IF(C30=1,MOD(MOD(E29^2,$B$4)*$B$21,$B$4),MOD(E29^2,$B$4))</f>
        <v>1032</v>
      </c>
    </row>
    <row r="31" spans="1:5" x14ac:dyDescent="0.35">
      <c r="A31" s="1"/>
      <c r="B31" s="1"/>
      <c r="C31" s="1"/>
      <c r="D31" s="1"/>
      <c r="E31" s="1"/>
    </row>
    <row r="32" spans="1:5" x14ac:dyDescent="0.35">
      <c r="A32" s="2" t="s">
        <v>43</v>
      </c>
      <c r="B32" s="11">
        <f>E30</f>
        <v>1032</v>
      </c>
      <c r="C32" s="1"/>
      <c r="D32" s="1"/>
      <c r="E32" s="1"/>
    </row>
    <row r="33" spans="1:5" x14ac:dyDescent="0.35">
      <c r="A33" s="1"/>
      <c r="B33" s="1"/>
      <c r="C33" s="1"/>
      <c r="D33" s="1"/>
      <c r="E33" s="1"/>
    </row>
    <row r="34" spans="1:5" ht="15.5" x14ac:dyDescent="0.35">
      <c r="A34" s="13" t="s">
        <v>17</v>
      </c>
      <c r="B34" s="14"/>
      <c r="C34" s="14"/>
      <c r="D34" s="14"/>
      <c r="E34" s="14"/>
    </row>
    <row r="35" spans="1:5" x14ac:dyDescent="0.35">
      <c r="A35" s="2" t="s">
        <v>75</v>
      </c>
      <c r="B35" s="3">
        <v>19</v>
      </c>
      <c r="C35" s="4" t="s">
        <v>3</v>
      </c>
      <c r="D35" s="1"/>
      <c r="E35" s="1"/>
    </row>
    <row r="36" spans="1:5" x14ac:dyDescent="0.35">
      <c r="A36" s="2" t="s">
        <v>76</v>
      </c>
      <c r="B36" s="3">
        <v>5</v>
      </c>
      <c r="C36" s="4" t="s">
        <v>3</v>
      </c>
      <c r="D36" s="1"/>
      <c r="E36" s="1"/>
    </row>
    <row r="37" spans="1:5" x14ac:dyDescent="0.35">
      <c r="A37" s="1"/>
      <c r="B37" s="1"/>
      <c r="C37" s="1"/>
      <c r="D37" s="1"/>
      <c r="E37" s="1"/>
    </row>
    <row r="38" spans="1:5" ht="15.5" x14ac:dyDescent="0.35">
      <c r="A38" s="13" t="s">
        <v>77</v>
      </c>
      <c r="B38" s="14"/>
      <c r="C38" s="14"/>
      <c r="D38" s="14"/>
      <c r="E38" s="14"/>
    </row>
    <row r="39" spans="1:5" x14ac:dyDescent="0.35">
      <c r="A39" s="7" t="s">
        <v>52</v>
      </c>
      <c r="B39" s="1"/>
      <c r="C39" s="1"/>
      <c r="D39" s="1"/>
      <c r="E39" s="1"/>
    </row>
    <row r="40" spans="1:5" x14ac:dyDescent="0.35">
      <c r="A40" s="8" t="s">
        <v>21</v>
      </c>
      <c r="B40" s="8" t="s">
        <v>22</v>
      </c>
      <c r="C40" s="8" t="s">
        <v>23</v>
      </c>
      <c r="D40" s="8" t="s">
        <v>24</v>
      </c>
      <c r="E40" s="8" t="s">
        <v>25</v>
      </c>
    </row>
    <row r="41" spans="1:5" x14ac:dyDescent="0.35">
      <c r="A41" s="9" t="s">
        <v>26</v>
      </c>
      <c r="B41" s="9" t="s">
        <v>27</v>
      </c>
      <c r="C41" s="9" t="s">
        <v>27</v>
      </c>
      <c r="D41" s="9" t="s">
        <v>28</v>
      </c>
      <c r="E41" s="5">
        <v>1</v>
      </c>
    </row>
    <row r="42" spans="1:5" x14ac:dyDescent="0.35">
      <c r="A42" s="9">
        <v>2</v>
      </c>
      <c r="B42" s="5">
        <f>2^2</f>
        <v>4</v>
      </c>
      <c r="C42" s="5">
        <f>MOD(INT($B$36/B42),2)</f>
        <v>1</v>
      </c>
      <c r="D42" s="10" t="s">
        <v>29</v>
      </c>
      <c r="E42" s="5">
        <f>IF(C42=1,MOD(MOD(E41^2,$B$4)*$B$21,$B$4),MOD(E41^2,$B$4))</f>
        <v>2084</v>
      </c>
    </row>
    <row r="43" spans="1:5" x14ac:dyDescent="0.35">
      <c r="A43" s="9">
        <v>1</v>
      </c>
      <c r="B43" s="5">
        <f>2^1</f>
        <v>2</v>
      </c>
      <c r="C43" s="5">
        <f>MOD(INT($B$36/B43),2)</f>
        <v>0</v>
      </c>
      <c r="D43" s="10" t="s">
        <v>29</v>
      </c>
      <c r="E43" s="5">
        <f>IF(C43=1,MOD(MOD(E42^2,$B$4)*$B$21,$B$4),MOD(E42^2,$B$4))</f>
        <v>1462</v>
      </c>
    </row>
    <row r="44" spans="1:5" x14ac:dyDescent="0.35">
      <c r="A44" s="9">
        <v>0</v>
      </c>
      <c r="B44" s="5">
        <f>2^0</f>
        <v>1</v>
      </c>
      <c r="C44" s="5">
        <f>MOD(INT($B$36/B44),2)</f>
        <v>1</v>
      </c>
      <c r="D44" s="10" t="s">
        <v>29</v>
      </c>
      <c r="E44" s="5">
        <f>IF(C44=1,MOD(MOD(E43^2,$B$4)*$B$21,$B$4),MOD(E43^2,$B$4))</f>
        <v>278</v>
      </c>
    </row>
    <row r="45" spans="1:5" x14ac:dyDescent="0.35">
      <c r="A45" s="1"/>
      <c r="B45" s="1"/>
      <c r="C45" s="1"/>
      <c r="D45" s="1"/>
      <c r="E45" s="1"/>
    </row>
    <row r="46" spans="1:5" x14ac:dyDescent="0.35">
      <c r="A46" s="2" t="s">
        <v>53</v>
      </c>
      <c r="B46" s="11">
        <f>E44</f>
        <v>278</v>
      </c>
      <c r="C46" s="1"/>
      <c r="D46" s="1"/>
      <c r="E46" s="1"/>
    </row>
    <row r="47" spans="1:5" x14ac:dyDescent="0.35">
      <c r="A47" s="2" t="s">
        <v>78</v>
      </c>
      <c r="B47" s="11">
        <f>MOD(B46+B35,B5)</f>
        <v>18</v>
      </c>
      <c r="C47" s="1"/>
      <c r="D47" s="1"/>
      <c r="E47" s="1"/>
    </row>
    <row r="48" spans="1:5" x14ac:dyDescent="0.35">
      <c r="A48" s="2" t="s">
        <v>79</v>
      </c>
      <c r="B48" s="11">
        <f>MOD(B36+B22*B47,B5)</f>
        <v>7</v>
      </c>
      <c r="C48" s="1"/>
      <c r="D48" s="1"/>
      <c r="E48" s="1"/>
    </row>
    <row r="49" spans="1:5" x14ac:dyDescent="0.35">
      <c r="A49" s="2" t="s">
        <v>80</v>
      </c>
      <c r="B49" s="6" t="str">
        <f>"("&amp;B48&amp;", "&amp;B47&amp;")"</f>
        <v>(7, 18)</v>
      </c>
      <c r="C49" s="1"/>
      <c r="D49" s="1"/>
      <c r="E49" s="1"/>
    </row>
    <row r="50" spans="1:5" x14ac:dyDescent="0.35">
      <c r="A50" s="1"/>
      <c r="B50" s="1"/>
      <c r="C50" s="1"/>
      <c r="D50" s="1"/>
      <c r="E50" s="1"/>
    </row>
    <row r="51" spans="1:5" ht="15.5" x14ac:dyDescent="0.35">
      <c r="A51" s="13" t="s">
        <v>81</v>
      </c>
      <c r="B51" s="14"/>
      <c r="C51" s="14"/>
      <c r="D51" s="14"/>
      <c r="E51" s="14"/>
    </row>
    <row r="52" spans="1:5" x14ac:dyDescent="0.35">
      <c r="A52" s="7" t="s">
        <v>82</v>
      </c>
      <c r="B52" s="1"/>
      <c r="C52" s="1"/>
      <c r="D52" s="1"/>
      <c r="E52" s="1"/>
    </row>
    <row r="53" spans="1:5" x14ac:dyDescent="0.35">
      <c r="A53" s="8" t="s">
        <v>21</v>
      </c>
      <c r="B53" s="8" t="s">
        <v>22</v>
      </c>
      <c r="C53" s="8" t="s">
        <v>23</v>
      </c>
      <c r="D53" s="8" t="s">
        <v>24</v>
      </c>
      <c r="E53" s="8" t="s">
        <v>25</v>
      </c>
    </row>
    <row r="54" spans="1:5" x14ac:dyDescent="0.35">
      <c r="A54" s="9" t="s">
        <v>26</v>
      </c>
      <c r="B54" s="9" t="s">
        <v>27</v>
      </c>
      <c r="C54" s="9" t="s">
        <v>27</v>
      </c>
      <c r="D54" s="9" t="s">
        <v>28</v>
      </c>
      <c r="E54" s="5">
        <v>1</v>
      </c>
    </row>
    <row r="55" spans="1:5" x14ac:dyDescent="0.35">
      <c r="A55" s="9">
        <v>2</v>
      </c>
      <c r="B55" s="5">
        <f>2^2</f>
        <v>4</v>
      </c>
      <c r="C55" s="5">
        <f>MOD(INT($B$48/B55),2)</f>
        <v>1</v>
      </c>
      <c r="D55" s="10" t="s">
        <v>29</v>
      </c>
      <c r="E55" s="5">
        <f>IF(C55=1,MOD(MOD(E54^2,$B$4)*$B$21,$B$4),MOD(E54^2,$B$4))</f>
        <v>2084</v>
      </c>
    </row>
    <row r="56" spans="1:5" x14ac:dyDescent="0.35">
      <c r="A56" s="9">
        <v>1</v>
      </c>
      <c r="B56" s="5">
        <f>2^1</f>
        <v>2</v>
      </c>
      <c r="C56" s="5">
        <f>MOD(INT($B$48/B56),2)</f>
        <v>1</v>
      </c>
      <c r="D56" s="10" t="s">
        <v>29</v>
      </c>
      <c r="E56" s="5">
        <f>IF(C56=1,MOD(MOD(E55^2,$B$4)*$B$21,$B$4),MOD(E55^2,$B$4))</f>
        <v>1564</v>
      </c>
    </row>
    <row r="57" spans="1:5" x14ac:dyDescent="0.35">
      <c r="A57" s="9">
        <v>0</v>
      </c>
      <c r="B57" s="5">
        <f>2^0</f>
        <v>1</v>
      </c>
      <c r="C57" s="5">
        <f>MOD(INT($B$48/B57),2)</f>
        <v>1</v>
      </c>
      <c r="D57" s="10" t="s">
        <v>29</v>
      </c>
      <c r="E57" s="5">
        <f>IF(C57=1,MOD(MOD(E56^2,$B$4)*$B$21,$B$4),MOD(E56^2,$B$4))</f>
        <v>1032</v>
      </c>
    </row>
    <row r="58" spans="1:5" x14ac:dyDescent="0.35">
      <c r="A58" s="1"/>
      <c r="B58" s="1"/>
      <c r="C58" s="1"/>
      <c r="D58" s="1"/>
      <c r="E58" s="1"/>
    </row>
    <row r="59" spans="1:5" x14ac:dyDescent="0.35">
      <c r="A59" s="2" t="s">
        <v>83</v>
      </c>
      <c r="B59" s="5">
        <f>E57</f>
        <v>1032</v>
      </c>
      <c r="C59" s="1"/>
      <c r="D59" s="1"/>
      <c r="E59" s="1"/>
    </row>
    <row r="60" spans="1:5" x14ac:dyDescent="0.35">
      <c r="A60" s="2" t="s">
        <v>84</v>
      </c>
      <c r="B60" s="5">
        <f>B5-B47</f>
        <v>13</v>
      </c>
      <c r="C60" s="1"/>
      <c r="D60" s="1"/>
      <c r="E60" s="1"/>
    </row>
    <row r="61" spans="1:5" x14ac:dyDescent="0.35">
      <c r="A61" s="1"/>
      <c r="B61" s="1"/>
      <c r="C61" s="1"/>
      <c r="D61" s="1"/>
      <c r="E61" s="1"/>
    </row>
    <row r="62" spans="1:5" x14ac:dyDescent="0.35">
      <c r="A62" s="7" t="s">
        <v>85</v>
      </c>
      <c r="B62" s="1"/>
      <c r="C62" s="1"/>
      <c r="D62" s="1"/>
      <c r="E62" s="1"/>
    </row>
    <row r="63" spans="1:5" x14ac:dyDescent="0.35">
      <c r="A63" s="8" t="s">
        <v>21</v>
      </c>
      <c r="B63" s="8" t="s">
        <v>22</v>
      </c>
      <c r="C63" s="8" t="s">
        <v>23</v>
      </c>
      <c r="D63" s="8" t="s">
        <v>24</v>
      </c>
      <c r="E63" s="8" t="s">
        <v>25</v>
      </c>
    </row>
    <row r="64" spans="1:5" x14ac:dyDescent="0.35">
      <c r="A64" s="9" t="s">
        <v>26</v>
      </c>
      <c r="B64" s="9" t="s">
        <v>27</v>
      </c>
      <c r="C64" s="9" t="s">
        <v>27</v>
      </c>
      <c r="D64" s="9" t="s">
        <v>28</v>
      </c>
      <c r="E64" s="5">
        <v>1</v>
      </c>
    </row>
    <row r="65" spans="1:5" x14ac:dyDescent="0.35">
      <c r="A65" s="9">
        <v>3</v>
      </c>
      <c r="B65" s="5">
        <f>2^3</f>
        <v>8</v>
      </c>
      <c r="C65" s="5">
        <f>MOD(INT($B$60/B65),2)</f>
        <v>1</v>
      </c>
      <c r="D65" s="10" t="s">
        <v>29</v>
      </c>
      <c r="E65" s="5">
        <f>IF(C65=1,MOD(MOD(E64^2,$B$4)*$B$32,$B$4),MOD(E64^2,$B$4))</f>
        <v>1032</v>
      </c>
    </row>
    <row r="66" spans="1:5" x14ac:dyDescent="0.35">
      <c r="A66" s="9">
        <v>2</v>
      </c>
      <c r="B66" s="5">
        <f>2^2</f>
        <v>4</v>
      </c>
      <c r="C66" s="5">
        <f>MOD(INT($B$60/B66),2)</f>
        <v>1</v>
      </c>
      <c r="D66" s="10" t="s">
        <v>29</v>
      </c>
      <c r="E66" s="5">
        <f>IF(C66=1,MOD(MOD(E65^2,$B$4)*$B$32,$B$4),MOD(E65^2,$B$4))</f>
        <v>313</v>
      </c>
    </row>
    <row r="67" spans="1:5" x14ac:dyDescent="0.35">
      <c r="A67" s="9">
        <v>1</v>
      </c>
      <c r="B67" s="5">
        <f>2^1</f>
        <v>2</v>
      </c>
      <c r="C67" s="5">
        <f>MOD(INT($B$60/B67),2)</f>
        <v>0</v>
      </c>
      <c r="D67" s="10" t="s">
        <v>29</v>
      </c>
      <c r="E67" s="5">
        <f>IF(C67=1,MOD(MOD(E66^2,$B$4)*$B$32,$B$4),MOD(E66^2,$B$4))</f>
        <v>1332</v>
      </c>
    </row>
    <row r="68" spans="1:5" x14ac:dyDescent="0.35">
      <c r="A68" s="9">
        <v>0</v>
      </c>
      <c r="B68" s="5">
        <f>2^0</f>
        <v>1</v>
      </c>
      <c r="C68" s="5">
        <f>MOD(INT($B$60/B68),2)</f>
        <v>1</v>
      </c>
      <c r="D68" s="10" t="s">
        <v>29</v>
      </c>
      <c r="E68" s="5">
        <f>IF(C68=1,MOD(MOD(E67^2,$B$4)*$B$32,$B$4),MOD(E67^2,$B$4))</f>
        <v>1430</v>
      </c>
    </row>
    <row r="69" spans="1:5" x14ac:dyDescent="0.35">
      <c r="A69" s="1"/>
      <c r="B69" s="1"/>
      <c r="C69" s="1"/>
      <c r="D69" s="1"/>
      <c r="E69" s="1"/>
    </row>
    <row r="70" spans="1:5" x14ac:dyDescent="0.35">
      <c r="A70" s="2" t="s">
        <v>86</v>
      </c>
      <c r="B70" s="5">
        <f>E68</f>
        <v>1430</v>
      </c>
      <c r="C70" s="1"/>
      <c r="D70" s="1"/>
      <c r="E70" s="1"/>
    </row>
    <row r="71" spans="1:5" x14ac:dyDescent="0.35">
      <c r="A71" s="2" t="s">
        <v>87</v>
      </c>
      <c r="B71" s="11">
        <f>MOD(B59*B70,B4)</f>
        <v>278</v>
      </c>
      <c r="C71" s="1"/>
      <c r="D71" s="1"/>
      <c r="E71" s="1"/>
    </row>
    <row r="72" spans="1:5" x14ac:dyDescent="0.35">
      <c r="A72" s="2" t="s">
        <v>88</v>
      </c>
      <c r="B72" s="11">
        <f>MOD(B71+B35,B5)</f>
        <v>18</v>
      </c>
      <c r="C72" s="1"/>
      <c r="D72" s="1"/>
      <c r="E72" s="1"/>
    </row>
    <row r="73" spans="1:5" x14ac:dyDescent="0.35">
      <c r="A73" s="2" t="s">
        <v>89</v>
      </c>
      <c r="B73" s="12" t="str">
        <f>IF(B72=B47,"VALID","TIDAK VALID")</f>
        <v>VALID</v>
      </c>
      <c r="C73" s="1"/>
      <c r="D73" s="1"/>
      <c r="E73" s="1"/>
    </row>
  </sheetData>
  <mergeCells count="7">
    <mergeCell ref="A34:E34"/>
    <mergeCell ref="A24:E24"/>
    <mergeCell ref="A38:E38"/>
    <mergeCell ref="A51:E51"/>
    <mergeCell ref="A1:E1"/>
    <mergeCell ref="A9:E9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RSA</vt:lpstr>
      <vt:lpstr>El Gamal</vt:lpstr>
      <vt:lpstr>Schnorr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Asus Vivobook</cp:lastModifiedBy>
  <dcterms:created xsi:type="dcterms:W3CDTF">2026-06-30T17:30:40Z</dcterms:created>
  <dcterms:modified xsi:type="dcterms:W3CDTF">2026-07-02T13:32:20Z</dcterms:modified>
</cp:coreProperties>
</file>